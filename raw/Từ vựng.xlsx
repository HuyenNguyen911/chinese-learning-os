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ừ vựng" sheetId="1" state="visible" r:id="rId1"/>
    <sheet xmlns:r="http://schemas.openxmlformats.org/officeDocument/2006/relationships" name="Chung t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color rgb="FFFFFFFF"/>
      <sz val="15"/>
      <scheme val="minor"/>
    </font>
    <font>
      <name val="Arial"/>
      <color rgb="FFFFFFFF"/>
      <sz val="14"/>
      <scheme val="minor"/>
    </font>
    <font>
      <name val="Arial"/>
      <color rgb="FFFFFFFF"/>
      <scheme val="minor"/>
    </font>
    <font>
      <name val="Arial"/>
      <color rgb="FF000000"/>
      <sz val="10"/>
    </font>
    <font>
      <name val="Arial"/>
      <color rgb="FF000000"/>
      <sz val="14"/>
    </font>
    <font>
      <name val="Arial"/>
      <color theme="1"/>
      <scheme val="minor"/>
    </font>
    <font>
      <name val="Arial"/>
      <color theme="1"/>
      <sz val="14"/>
    </font>
    <font>
      <name val="Arial"/>
      <color theme="1"/>
      <sz val="14"/>
      <scheme val="minor"/>
    </font>
    <font>
      <name val="Arial"/>
      <color rgb="FFFF0000"/>
      <sz val="14"/>
    </font>
    <font>
      <name val="&quot;Google Sans&quot;"/>
      <color theme="1"/>
      <sz val="11"/>
    </font>
    <font>
      <name val="Arial"/>
      <color theme="1"/>
    </font>
    <font>
      <name val="Arial"/>
      <color rgb="FFCC0000"/>
    </font>
    <font>
      <name val="&quot;Google Sans&quot;"/>
      <color theme="1"/>
      <sz val="12"/>
    </font>
    <font>
      <name val="Arial"/>
      <color rgb="FFF4CCCC"/>
      <sz val="14"/>
      <scheme val="minor"/>
    </font>
    <font>
      <name val="Arial"/>
      <color rgb="FF000000"/>
      <sz val="12"/>
    </font>
  </fonts>
  <fills count="5">
    <fill>
      <patternFill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vertical="bottom"/>
    </xf>
    <xf numFmtId="0" fontId="12" fillId="4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3664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13" customWidth="1" style="24" min="1" max="1"/>
    <col width="10.38" customWidth="1" style="24" min="2" max="2"/>
    <col width="15" customWidth="1" style="24" min="3" max="3"/>
    <col width="30.13" customWidth="1" style="24" min="4" max="4"/>
    <col width="19.25" customWidth="1" style="24" min="5" max="5"/>
    <col width="38" customWidth="1" style="24" min="6" max="6"/>
    <col width="17.63" customWidth="1" style="24" min="7" max="7"/>
  </cols>
  <sheetData>
    <row r="1">
      <c r="A1" s="1" t="inlineStr">
        <is>
          <t>Bài</t>
        </is>
      </c>
      <c r="B1" s="2" t="inlineStr">
        <is>
          <t>生词</t>
        </is>
      </c>
      <c r="C1" s="3" t="inlineStr">
        <is>
          <t>Pinyin</t>
        </is>
      </c>
      <c r="D1" s="3" t="inlineStr">
        <is>
          <t>描述</t>
        </is>
      </c>
      <c r="E1" s="3" t="inlineStr">
        <is>
          <t>意义</t>
        </is>
      </c>
      <c r="F1" s="3" t="inlineStr">
        <is>
          <t>例如</t>
        </is>
      </c>
      <c r="G1" s="3" t="inlineStr">
        <is>
          <t>复习</t>
        </is>
      </c>
      <c r="H1" s="4" t="inlineStr">
        <is>
          <t>检查</t>
        </is>
      </c>
    </row>
    <row r="2">
      <c r="A2" s="5" t="inlineStr">
        <is>
          <t>Bài 1</t>
        </is>
      </c>
      <c r="B2" s="6" t="inlineStr">
        <is>
          <t>爽快</t>
        </is>
      </c>
      <c r="C2" s="8">
        <f>pinyin(B2)</f>
        <v/>
      </c>
      <c r="D2" s="8" t="n"/>
      <c r="E2" s="8">
        <f>IFERROR(__xludf.DUMMYFUNCTION("GOOGLETRANSLATE(B2, ""zh"", ""vi"")"),"dễ dàng")</f>
        <v/>
      </c>
      <c r="F2" s="8" t="inlineStr">
        <is>
          <t>我本来以为他会考虑很久，要不要借给我钱，没想到他答应得特别爽快。</t>
        </is>
      </c>
      <c r="G2" s="8" t="inlineStr">
        <is>
          <t>爽快</t>
        </is>
      </c>
      <c r="H2" s="9">
        <f>G2=B2</f>
        <v/>
      </c>
    </row>
    <row r="3">
      <c r="A3" s="5" t="inlineStr">
        <is>
          <t>Bài 1</t>
        </is>
      </c>
      <c r="B3" s="6" t="inlineStr">
        <is>
          <t>别嚷了</t>
        </is>
      </c>
      <c r="C3" s="8">
        <f>pinyin(B3)</f>
        <v/>
      </c>
      <c r="D3" s="8" t="n"/>
      <c r="E3" s="8">
        <f>IFERROR(__xludf.DUMMYFUNCTION("GOOGLETRANSLATE(B3, ""zh"", ""vi"")"),"Đừng la hét nữa")</f>
        <v/>
      </c>
      <c r="F3" s="8" t="inlineStr">
        <is>
          <t>别嚷了，大家都在睡觉。（Bié rǎng le, dàjiā dōu zài shuìjiào）</t>
        </is>
      </c>
      <c r="G3" s="8" t="inlineStr">
        <is>
          <t>别嚷了</t>
        </is>
      </c>
      <c r="H3" s="9">
        <f>G3=B3</f>
        <v/>
      </c>
    </row>
    <row r="4">
      <c r="A4" s="5" t="inlineStr">
        <is>
          <t>Bài 1</t>
        </is>
      </c>
      <c r="B4" s="6" t="inlineStr">
        <is>
          <t>巴不得</t>
        </is>
      </c>
      <c r="C4" s="8">
        <f>pinyin(B4)</f>
        <v/>
      </c>
      <c r="D4" s="8" t="n"/>
      <c r="E4" s="8">
        <f>IFERROR(__xludf.DUMMYFUNCTION("GOOGLETRANSLATE(B4, ""zh"", ""vi"")"),"lo lắng")</f>
        <v/>
      </c>
      <c r="F4" s="8" t="inlineStr">
        <is>
          <t>最近工作太累了，我巴不得马上到周末，好好休息。</t>
        </is>
      </c>
      <c r="G4" s="8" t="inlineStr">
        <is>
          <t>巴不得</t>
        </is>
      </c>
      <c r="H4" s="9">
        <f>G4=B4</f>
        <v/>
      </c>
    </row>
    <row r="5">
      <c r="A5" s="5" t="inlineStr">
        <is>
          <t>Bài 1</t>
        </is>
      </c>
      <c r="B5" s="6" t="inlineStr">
        <is>
          <t>异常</t>
        </is>
      </c>
      <c r="C5" s="8">
        <f>pinyin(B5)</f>
        <v/>
      </c>
      <c r="D5" s="8" t="n"/>
      <c r="E5" s="8">
        <f>IFERROR(__xludf.DUMMYFUNCTION("GOOGLETRANSLATE(B5, ""zh"", ""vi"")"),"bất thường")</f>
        <v/>
      </c>
      <c r="F5" s="8" t="inlineStr">
        <is>
          <t>她今天异常安静，和平时爱聊天的样子完全不一样。</t>
        </is>
      </c>
      <c r="G5" s="8" t="inlineStr">
        <is>
          <t>异常</t>
        </is>
      </c>
      <c r="H5" s="9">
        <f>G5=B5</f>
        <v/>
      </c>
    </row>
    <row r="6">
      <c r="A6" s="5" t="inlineStr">
        <is>
          <t>Bài 1</t>
        </is>
      </c>
      <c r="B6" s="6" t="inlineStr">
        <is>
          <t>十足</t>
        </is>
      </c>
      <c r="C6" s="8">
        <f>pinyin(B6)</f>
        <v/>
      </c>
      <c r="D6" s="8" t="n"/>
      <c r="E6" s="8">
        <f>IFERROR(__xludf.DUMMYFUNCTION("GOOGLETRANSLATE(B6, ""zh"", ""vi"")"),"Đầy")</f>
        <v/>
      </c>
      <c r="F6" s="8" t="inlineStr">
        <is>
          <t>他是个十足的工作狂，经常忙到半夜才回家。</t>
        </is>
      </c>
      <c r="G6" s="8" t="inlineStr">
        <is>
          <t>十足</t>
        </is>
      </c>
      <c r="H6" s="9">
        <f>G6=B6</f>
        <v/>
      </c>
    </row>
    <row r="7">
      <c r="A7" s="5" t="inlineStr">
        <is>
          <t>Bài 1</t>
        </is>
      </c>
      <c r="B7" s="6" t="inlineStr">
        <is>
          <t>融洽</t>
        </is>
      </c>
      <c r="C7" s="8">
        <f>pinyin(B7)</f>
        <v/>
      </c>
      <c r="D7" s="8" t="n"/>
      <c r="E7" s="8">
        <f>IFERROR(__xludf.DUMMYFUNCTION("GOOGLETRANSLATE(B7, ""zh"", ""vi"")"),"Hòa hợp")</f>
        <v/>
      </c>
      <c r="F7" s="8" t="inlineStr">
        <is>
          <t>我跟同事之间的关系很融洽，所以工作环境也特别轻松。</t>
        </is>
      </c>
      <c r="G7" s="8" t="inlineStr">
        <is>
          <t>融洽</t>
        </is>
      </c>
      <c r="H7" s="9">
        <f>G7=B7</f>
        <v/>
      </c>
    </row>
    <row r="8">
      <c r="A8" s="5" t="inlineStr">
        <is>
          <t>Bài 1</t>
        </is>
      </c>
      <c r="B8" s="10" t="inlineStr">
        <is>
          <t>讨好</t>
        </is>
      </c>
      <c r="C8" s="8">
        <f>pinyin(B8)</f>
        <v/>
      </c>
      <c r="D8" s="8" t="n"/>
      <c r="E8" s="8">
        <f>IFERROR(__xludf.DUMMYFUNCTION("GOOGLETRANSLATE(B8, ""zh"", ""vi"")"),"sự nịnh hót")</f>
        <v/>
      </c>
      <c r="F8" s="8" t="inlineStr">
        <is>
          <t>我觉得做人没必要一直讨好别人，做真实的自己更重要。</t>
        </is>
      </c>
      <c r="G8" s="8" t="inlineStr">
        <is>
          <t>讨好</t>
        </is>
      </c>
      <c r="H8" s="9">
        <f>G8=B8</f>
        <v/>
      </c>
    </row>
    <row r="9">
      <c r="A9" s="5" t="inlineStr">
        <is>
          <t>Bài 1</t>
        </is>
      </c>
      <c r="B9" s="10" t="inlineStr">
        <is>
          <t>打架</t>
        </is>
      </c>
      <c r="C9" s="8">
        <f>pinyin(B9)</f>
        <v/>
      </c>
      <c r="D9" s="8" t="n"/>
      <c r="E9" s="8">
        <f>IFERROR(__xludf.DUMMYFUNCTION("GOOGLETRANSLATE(B9, ""zh"", ""vi"")"),"trận đánh")</f>
        <v/>
      </c>
      <c r="F9" s="8" t="inlineStr">
        <is>
          <t>小时候我和妹妹经常因为一些小事情打架，现在想起来觉得很好笑。</t>
        </is>
      </c>
      <c r="G9" s="8" t="inlineStr">
        <is>
          <t>打架</t>
        </is>
      </c>
      <c r="H9" s="9">
        <f>G9=B9</f>
        <v/>
      </c>
    </row>
    <row r="10">
      <c r="A10" s="5" t="inlineStr">
        <is>
          <t>Bài 1</t>
        </is>
      </c>
      <c r="B10" s="10" t="inlineStr">
        <is>
          <t>亲密</t>
        </is>
      </c>
      <c r="C10" s="8">
        <f>pinyin(B10)</f>
        <v/>
      </c>
      <c r="D10" s="8" t="n"/>
      <c r="E10" s="8" t="inlineStr">
        <is>
          <t>thân thiết</t>
        </is>
      </c>
      <c r="F10" s="8" t="inlineStr">
        <is>
          <t>虽然妹妹和小林认识的时间不长，但是看起来已经很亲密了。</t>
        </is>
      </c>
      <c r="G10" s="8" t="inlineStr">
        <is>
          <t>亲密</t>
        </is>
      </c>
      <c r="H10" s="9">
        <f>G10=B10</f>
        <v/>
      </c>
    </row>
    <row r="11">
      <c r="A11" s="5" t="inlineStr">
        <is>
          <t>Bài 1</t>
        </is>
      </c>
      <c r="B11" s="10" t="inlineStr">
        <is>
          <t>留恋</t>
        </is>
      </c>
      <c r="C11" s="8">
        <f>pinyin(B11)</f>
        <v/>
      </c>
      <c r="D11" s="8" t="n"/>
      <c r="E11" s="8">
        <f>IFERROR(__xludf.DUMMYFUNCTION("GOOGLETRANSLATE(B11, ""zh"", ""vi"")"),"Nỗi nhớ")</f>
        <v/>
      </c>
      <c r="F11" s="8" t="inlineStr">
        <is>
          <t>每次回老家看望爷爷奶奶，临走时我都很留恋家里的温馨气氛。</t>
        </is>
      </c>
      <c r="G11" s="8" t="inlineStr">
        <is>
          <t>留恋</t>
        </is>
      </c>
      <c r="H11" s="9">
        <f>G11=B11</f>
        <v/>
      </c>
    </row>
    <row r="12">
      <c r="A12" s="5" t="inlineStr">
        <is>
          <t>Bài 1</t>
        </is>
      </c>
      <c r="B12" s="10" t="inlineStr">
        <is>
          <t>开朗</t>
        </is>
      </c>
      <c r="C12" s="8">
        <f>pinyin(B12)</f>
        <v/>
      </c>
      <c r="D12" s="8" t="n"/>
      <c r="E12" s="8">
        <f>IFERROR(__xludf.DUMMYFUNCTION("GOOGLETRANSLATE(B12, ""zh"", ""vi"")"),"vui vẻ")</f>
        <v/>
      </c>
      <c r="F12" s="8" t="inlineStr">
        <is>
          <t>我妹妹性格非常开朗，总能给全家人带来欢笑。</t>
        </is>
      </c>
      <c r="G12" s="8" t="inlineStr">
        <is>
          <t>开朗</t>
        </is>
      </c>
      <c r="H12" s="9">
        <f>G12=B12</f>
        <v/>
      </c>
    </row>
    <row r="13">
      <c r="A13" s="5" t="inlineStr">
        <is>
          <t>Bài 1</t>
        </is>
      </c>
      <c r="B13" s="10" t="inlineStr">
        <is>
          <t>闲话</t>
        </is>
      </c>
      <c r="C13" s="8">
        <f>pinyin(B13)</f>
        <v/>
      </c>
      <c r="D13" s="8" t="n"/>
      <c r="E13" s="8">
        <f>IFERROR(__xludf.DUMMYFUNCTION("GOOGLETRANSLATE(B13, ""zh"", ""vi"")"),"chuyện phiếm")</f>
        <v/>
      </c>
      <c r="F13" s="8" t="inlineStr">
        <is>
          <t>妈妈常对我说，过好自己的日子就行，不要去管别人的闲话。</t>
        </is>
      </c>
      <c r="G13" s="8" t="inlineStr">
        <is>
          <t>闲话</t>
        </is>
      </c>
      <c r="H13" s="9">
        <f>G13=B13</f>
        <v/>
      </c>
    </row>
    <row r="14">
      <c r="A14" s="5" t="inlineStr">
        <is>
          <t>Bài 1</t>
        </is>
      </c>
      <c r="B14" s="10" t="inlineStr">
        <is>
          <t>风趣</t>
        </is>
      </c>
      <c r="C14" s="8">
        <f>pinyin(B14)</f>
        <v/>
      </c>
      <c r="D14" s="8" t="n"/>
      <c r="E14" s="8">
        <f>IFERROR(__xludf.DUMMYFUNCTION("GOOGLETRANSLATE(B14, ""zh"", ""vi"")"),"hài hước")</f>
        <v/>
      </c>
      <c r="F14" s="8" t="inlineStr">
        <is>
          <t>爸爸是个幽默的人，说话很风趣，经常把妈妈逗笑。</t>
        </is>
      </c>
      <c r="G14" s="8" t="inlineStr">
        <is>
          <t>风趣</t>
        </is>
      </c>
      <c r="H14" s="9">
        <f>G14=B14</f>
        <v/>
      </c>
    </row>
    <row r="15">
      <c r="A15" s="5" t="inlineStr">
        <is>
          <t>Bài 1</t>
        </is>
      </c>
      <c r="B15" s="10" t="inlineStr">
        <is>
          <t>恩怨</t>
        </is>
      </c>
      <c r="C15" s="8">
        <f>pinyin(B15)</f>
        <v/>
      </c>
      <c r="D15" s="8" t="n"/>
      <c r="E15" s="8">
        <f>IFERROR(__xludf.DUMMYFUNCTION("GOOGLETRANSLATE(B15, ""zh"", ""vi"")"),"sự oán giận")</f>
        <v/>
      </c>
      <c r="F15" s="8" t="inlineStr">
        <is>
          <t>别看这俩兄弟天天吵架，其实他们心里根本没有恩怨，一会儿就又一起玩了。</t>
        </is>
      </c>
      <c r="G15" s="8" t="inlineStr">
        <is>
          <t>恩怨</t>
        </is>
      </c>
      <c r="H15" s="9">
        <f>G15=B15</f>
        <v/>
      </c>
    </row>
    <row r="16">
      <c r="A16" s="5" t="inlineStr">
        <is>
          <t>Bài 1</t>
        </is>
      </c>
      <c r="B16" s="10" t="inlineStr">
        <is>
          <t>娇气</t>
        </is>
      </c>
      <c r="C16" s="8">
        <f>pinyin(B16)</f>
        <v/>
      </c>
      <c r="D16" s="8" t="n"/>
      <c r="E16" s="8">
        <f>IFERROR(__xludf.DUMMYFUNCTION("GOOGLETRANSLATE(B16, ""zh"", ""vi"")"),"Thanh tú")</f>
        <v/>
      </c>
      <c r="F16" s="8" t="inlineStr">
        <is>
          <t>父母从小就培养我的独立能力，不想让我变成一个娇气的孩子。</t>
        </is>
      </c>
      <c r="G16" s="8" t="inlineStr">
        <is>
          <t>娇气</t>
        </is>
      </c>
      <c r="H16" s="9">
        <f>G16=B16</f>
        <v/>
      </c>
    </row>
    <row r="17">
      <c r="A17" s="5" t="inlineStr">
        <is>
          <t>Bài 1</t>
        </is>
      </c>
      <c r="B17" s="10" t="inlineStr">
        <is>
          <t>伶俐</t>
        </is>
      </c>
      <c r="C17" s="8">
        <f>pinyin(B17)</f>
        <v/>
      </c>
      <c r="D17" s="8" t="n"/>
      <c r="E17" s="8">
        <f>IFERROR(__xludf.DUMMYFUNCTION("GOOGLETRANSLATE(B17, ""zh"", ""vi"")"),"thông minh")</f>
        <v/>
      </c>
      <c r="F17" s="8" t="inlineStr">
        <is>
          <t>隔壁王阿姨家的女儿口齿伶俐，长得也很可爱。</t>
        </is>
      </c>
      <c r="G17" s="8" t="inlineStr">
        <is>
          <t>伶俐</t>
        </is>
      </c>
      <c r="H17" s="9">
        <f>G17=B17</f>
        <v/>
      </c>
    </row>
    <row r="18">
      <c r="A18" s="5" t="inlineStr">
        <is>
          <t>Bài 1</t>
        </is>
      </c>
      <c r="B18" s="10" t="inlineStr">
        <is>
          <t>挑剔</t>
        </is>
      </c>
      <c r="C18" s="8">
        <f>pinyin(B18)</f>
        <v/>
      </c>
      <c r="D18" s="8" t="n"/>
      <c r="E18" s="8">
        <f>IFERROR(__xludf.DUMMYFUNCTION("GOOGLETRANSLATE(B18, ""zh"", ""vi"")"),"kén chọn")</f>
        <v/>
      </c>
      <c r="F18" s="8" t="inlineStr">
        <is>
          <t>妈妈做饭很辛苦，我们在吃饭时从来不挑剔。</t>
        </is>
      </c>
      <c r="G18" s="8" t="inlineStr">
        <is>
          <t>挑剔</t>
        </is>
      </c>
      <c r="H18" s="9">
        <f>G18=B18</f>
        <v/>
      </c>
    </row>
    <row r="19">
      <c r="A19" s="5" t="inlineStr">
        <is>
          <t>Bài 1</t>
        </is>
      </c>
      <c r="B19" s="10" t="inlineStr">
        <is>
          <t>挑拨</t>
        </is>
      </c>
      <c r="C19" s="8">
        <f>pinyin(B19)</f>
        <v/>
      </c>
      <c r="D19" s="8" t="n"/>
      <c r="E19" s="8">
        <f>IFERROR(__xludf.DUMMYFUNCTION("GOOGLETRANSLATE(B19, ""zh"", ""vi"")"),"chơi tiếp")</f>
        <v/>
      </c>
      <c r="F19" s="8" t="inlineStr">
        <is>
          <t>那位“绿茶”妹妹总是在男主面前说女主的坏话，想挑拨他们之间的关系。</t>
        </is>
      </c>
      <c r="G19" s="8" t="inlineStr">
        <is>
          <t>挑拨</t>
        </is>
      </c>
      <c r="H19" s="9">
        <f>G19=B19</f>
        <v/>
      </c>
    </row>
    <row r="20">
      <c r="A20" s="5" t="inlineStr">
        <is>
          <t>Bài 1</t>
        </is>
      </c>
      <c r="B20" s="10" t="inlineStr">
        <is>
          <t>气质</t>
        </is>
      </c>
      <c r="C20" s="8">
        <f>pinyin(B20)</f>
        <v/>
      </c>
      <c r="D20" s="8" t="n"/>
      <c r="E20" s="8">
        <f>IFERROR(__xludf.DUMMYFUNCTION("GOOGLETRANSLATE(B20, ""zh"", ""vi"")"),"tính khí")</f>
        <v/>
      </c>
      <c r="F20" s="8" t="inlineStr">
        <is>
          <t>妈妈年轻时学过跳舞，直到现在身上还有一种优雅的气质。</t>
        </is>
      </c>
      <c r="G20" s="8" t="inlineStr">
        <is>
          <t>气质</t>
        </is>
      </c>
      <c r="H20" s="9">
        <f>G20=B20</f>
        <v/>
      </c>
    </row>
    <row r="21">
      <c r="A21" s="5" t="inlineStr">
        <is>
          <t>Bài 1</t>
        </is>
      </c>
      <c r="B21" s="10" t="inlineStr">
        <is>
          <t>容貌</t>
        </is>
      </c>
      <c r="C21" s="8">
        <f>pinyin(B21)</f>
        <v/>
      </c>
      <c r="D21" s="8" t="n"/>
      <c r="E21" s="8">
        <f>IFERROR(__xludf.DUMMYFUNCTION("GOOGLETRANSLATE(B21, ""zh"", ""vi"")"),"vẻ bề ngoài")</f>
        <v/>
      </c>
      <c r="F21" s="8" t="inlineStr">
        <is>
          <t>随着岁月流逝，父母的容貌变老了，但他们对我的爱从未改变。</t>
        </is>
      </c>
      <c r="G21" s="8" t="inlineStr">
        <is>
          <t>容貌</t>
        </is>
      </c>
      <c r="H21" s="9">
        <f>G21=B21</f>
        <v/>
      </c>
    </row>
    <row r="22">
      <c r="A22" s="5" t="inlineStr">
        <is>
          <t>Bài 1</t>
        </is>
      </c>
      <c r="B22" s="10" t="inlineStr">
        <is>
          <t>福气</t>
        </is>
      </c>
      <c r="C22" s="8">
        <f>pinyin(B22)</f>
        <v/>
      </c>
      <c r="D22" s="8" t="n"/>
      <c r="E22" s="8">
        <f>IFERROR(__xludf.DUMMYFUNCTION("GOOGLETRANSLATE(B22, ""zh"", ""vi"")"),"Chúc may mắn")</f>
        <v/>
      </c>
      <c r="F22" s="8" t="inlineStr">
        <is>
          <t>我妈妈做饭特别好吃，大家都说我爸娶到我妈真是有福气。</t>
        </is>
      </c>
      <c r="G22" s="8" t="inlineStr">
        <is>
          <t>福气</t>
        </is>
      </c>
      <c r="H22" s="9">
        <f>G22=B22</f>
        <v/>
      </c>
    </row>
    <row r="23">
      <c r="A23" s="5" t="inlineStr">
        <is>
          <t>Bài 1</t>
        </is>
      </c>
      <c r="B23" s="10" t="inlineStr">
        <is>
          <t>嫉妒</t>
        </is>
      </c>
      <c r="C23" s="8">
        <f>pinyin(B23)</f>
        <v/>
      </c>
      <c r="D23" s="8" t="n"/>
      <c r="E23" s="8">
        <f>IFERROR(__xludf.DUMMYFUNCTION("GOOGLETRANSLATE(B23, ""zh"", ""vi"")"),"ghen tỵ")</f>
        <v/>
      </c>
      <c r="F23" s="8" t="inlineStr">
        <is>
          <t>你没必要嫉妒他的成功，只要你足够努力，总有一天你也能做到。</t>
        </is>
      </c>
      <c r="G23" s="8" t="inlineStr">
        <is>
          <t>嫉妒</t>
        </is>
      </c>
      <c r="H23" s="9">
        <f>G23=B23</f>
        <v/>
      </c>
    </row>
    <row r="24">
      <c r="A24" s="5" t="inlineStr">
        <is>
          <t>Bài 1</t>
        </is>
      </c>
      <c r="B24" s="10" t="inlineStr">
        <is>
          <t>忽略</t>
        </is>
      </c>
      <c r="C24" s="8">
        <f>pinyin(B24)</f>
        <v/>
      </c>
      <c r="D24" s="8" t="n"/>
      <c r="E24" s="8">
        <f>IFERROR(__xludf.DUMMYFUNCTION("GOOGLETRANSLATE(B24, ""zh"", ""vi"")"),"sao nhãng")</f>
        <v/>
      </c>
      <c r="F24" s="8" t="inlineStr">
        <is>
          <t>工作很重要，但是不要为了工作而忽略自己的身体健康。（忽略 + người / cảm giác của ai đó）</t>
        </is>
      </c>
      <c r="G24" s="8" t="inlineStr">
        <is>
          <t>忽略</t>
        </is>
      </c>
      <c r="H24" s="9">
        <f>G24=B24</f>
        <v/>
      </c>
    </row>
    <row r="25">
      <c r="A25" s="5" t="inlineStr">
        <is>
          <t>Bài 1</t>
        </is>
      </c>
      <c r="B25" s="10" t="inlineStr">
        <is>
          <t>维持关系</t>
        </is>
      </c>
      <c r="C25" s="8">
        <f>pinyin(B25)</f>
        <v/>
      </c>
      <c r="D25" s="8" t="n"/>
      <c r="E25" s="8">
        <f>IFERROR(__xludf.DUMMYFUNCTION("GOOGLETRANSLATE(B25, ""zh"", ""vi"")"),"Duy trì mối quan hệ")</f>
        <v/>
      </c>
      <c r="F25" s="8" t="inlineStr">
        <is>
          <t>（wei zhi guanxi -&gt; 维持关系：Duy trì mối quan hệ）</t>
        </is>
      </c>
      <c r="G25" s="8" t="inlineStr">
        <is>
          <t>维持关系</t>
        </is>
      </c>
      <c r="H25" s="9">
        <f>G25=B25</f>
        <v/>
      </c>
    </row>
    <row r="26">
      <c r="A26" s="5" t="inlineStr">
        <is>
          <t>Bài 1</t>
        </is>
      </c>
      <c r="B26" s="10" t="inlineStr">
        <is>
          <t>附和</t>
        </is>
      </c>
      <c r="C26" s="8">
        <f>pinyin(B26)</f>
        <v/>
      </c>
      <c r="D26" s="8" t="n"/>
      <c r="E26" s="8">
        <f>IFERROR(__xludf.DUMMYFUNCTION("GOOGLETRANSLATE(B26, ""zh"", ""vi"")"),"đi theo")</f>
        <v/>
      </c>
      <c r="F26" s="8" t="inlineStr">
        <is>
          <t>（附和：Hùa theo, phụ họa）</t>
        </is>
      </c>
      <c r="G26" s="8" t="inlineStr">
        <is>
          <t>附和</t>
        </is>
      </c>
      <c r="H26" s="9">
        <f>G26=B26</f>
        <v/>
      </c>
    </row>
    <row r="27">
      <c r="A27" s="5" t="inlineStr">
        <is>
          <t>Bài 1</t>
        </is>
      </c>
      <c r="B27" s="10" t="inlineStr">
        <is>
          <t>大为吃惊</t>
        </is>
      </c>
      <c r="C27" s="8">
        <f>pinyin(B27)</f>
        <v/>
      </c>
      <c r="D27" s="8" t="n"/>
      <c r="E27" s="8">
        <f>IFERROR(__xludf.DUMMYFUNCTION("GOOGLETRANSLATE(B27, ""zh"", ""vi"")"),"Vô cùng ngạc nhiên")</f>
        <v/>
      </c>
      <c r="F27" s="8" t="inlineStr">
        <is>
          <t>（大为吃惊：Hết sức ngạc nhiên / 大不如前：Không còn được như trước / 不大合得来：Không hợp nhau cho lắm）</t>
        </is>
      </c>
      <c r="G27" s="8" t="inlineStr">
        <is>
          <t>大为吃惊</t>
        </is>
      </c>
      <c r="H27" s="9">
        <f>G27=B27</f>
        <v/>
      </c>
    </row>
    <row r="28">
      <c r="A28" s="5" t="inlineStr">
        <is>
          <t>Bài 1</t>
        </is>
      </c>
      <c r="B28" s="10" t="inlineStr">
        <is>
          <t>大不如前</t>
        </is>
      </c>
      <c r="C28" s="8">
        <f>pinyin(B28)</f>
        <v/>
      </c>
      <c r="D28" s="8" t="n"/>
      <c r="E28" s="8">
        <f>IFERROR(__xludf.DUMMYFUNCTION("GOOGLETRANSLATE(B28, ""zh"", ""vi"")"),"Không tốt như trước nữa")</f>
        <v/>
      </c>
      <c r="F28" s="8" t="inlineStr">
        <is>
          <t>（别人：Người khác）</t>
        </is>
      </c>
      <c r="G28" s="8" t="inlineStr">
        <is>
          <t>大不如前</t>
        </is>
      </c>
      <c r="H28" s="9">
        <f>G28=B28</f>
        <v/>
      </c>
    </row>
    <row r="29">
      <c r="A29" s="5" t="inlineStr">
        <is>
          <t>Bài 1</t>
        </is>
      </c>
      <c r="B29" s="10" t="inlineStr">
        <is>
          <t>不大合得来</t>
        </is>
      </c>
      <c r="C29" s="8">
        <f>pinyin(B29)</f>
        <v/>
      </c>
      <c r="D29" s="8" t="n"/>
      <c r="E29" s="8">
        <f>IFERROR(__xludf.DUMMYFUNCTION("GOOGLETRANSLATE(B29, ""zh"", ""vi"")"),"Không tương thích lắm")</f>
        <v/>
      </c>
      <c r="F29" s="8" t="inlineStr">
        <is>
          <t>（宽容：Bao dung / 和睦：Hòa thuận / 绅士：Ga-lăng, quý ông）</t>
        </is>
      </c>
      <c r="G29" s="8" t="inlineStr">
        <is>
          <t>不大合得来</t>
        </is>
      </c>
      <c r="H29" s="9">
        <f>G29=B29</f>
        <v/>
      </c>
    </row>
    <row r="30">
      <c r="A30" s="5" t="inlineStr">
        <is>
          <t>Bài 1</t>
        </is>
      </c>
      <c r="B30" s="10" t="inlineStr">
        <is>
          <t>别人</t>
        </is>
      </c>
      <c r="C30" s="8">
        <f>pinyin(B30)</f>
        <v/>
      </c>
      <c r="D30" s="8" t="n"/>
      <c r="E30" s="8">
        <f>IFERROR(__xludf.DUMMYFUNCTION("GOOGLETRANSLATE(B30, ""zh"", ""vi"")"),"những người khác")</f>
        <v/>
      </c>
      <c r="G30" s="8" t="inlineStr">
        <is>
          <t>别人</t>
        </is>
      </c>
      <c r="H30" s="9">
        <f>G30=B30</f>
        <v/>
      </c>
    </row>
    <row r="31">
      <c r="A31" s="5" t="inlineStr">
        <is>
          <t>Bài 1</t>
        </is>
      </c>
      <c r="B31" s="10" t="inlineStr">
        <is>
          <t>宽容</t>
        </is>
      </c>
      <c r="C31" s="8">
        <f>pinyin(B31)</f>
        <v/>
      </c>
      <c r="D31" s="8" t="n"/>
      <c r="E31" s="8">
        <f>IFERROR(__xludf.DUMMYFUNCTION("GOOGLETRANSLATE(B31, ""zh"", ""vi"")"),"khoan dung")</f>
        <v/>
      </c>
      <c r="G31" s="8" t="inlineStr">
        <is>
          <t>宽容</t>
        </is>
      </c>
      <c r="H31" s="9">
        <f>G31=B31</f>
        <v/>
      </c>
    </row>
    <row r="32">
      <c r="A32" s="5" t="inlineStr">
        <is>
          <t>Bài 1</t>
        </is>
      </c>
      <c r="B32" s="10" t="inlineStr">
        <is>
          <t>和睦</t>
        </is>
      </c>
      <c r="C32" s="8">
        <f>pinyin(B32)</f>
        <v/>
      </c>
      <c r="D32" s="8" t="n"/>
      <c r="E32" s="8">
        <f>IFERROR(__xludf.DUMMYFUNCTION("GOOGLETRANSLATE(B32, ""zh"", ""vi"")"),"hòa hợp")</f>
        <v/>
      </c>
      <c r="G32" s="8" t="inlineStr">
        <is>
          <t>和睦</t>
        </is>
      </c>
      <c r="H32" s="9">
        <f>G32=B32</f>
        <v/>
      </c>
    </row>
    <row r="33">
      <c r="A33" s="5" t="inlineStr">
        <is>
          <t>Bài 1</t>
        </is>
      </c>
      <c r="B33" s="10" t="inlineStr">
        <is>
          <t>绅士</t>
        </is>
      </c>
      <c r="C33" s="8">
        <f>pinyin(B33)</f>
        <v/>
      </c>
      <c r="D33" s="8" t="n"/>
      <c r="E33" s="8">
        <f>IFERROR(__xludf.DUMMYFUNCTION("GOOGLETRANSLATE(B33, ""zh"", ""vi"")"),"quý ông")</f>
        <v/>
      </c>
      <c r="G33" s="8" t="inlineStr">
        <is>
          <t>绅士</t>
        </is>
      </c>
      <c r="H33" s="9">
        <f>G33=B33</f>
        <v/>
      </c>
    </row>
    <row r="34">
      <c r="A34" s="5" t="inlineStr">
        <is>
          <t>Bài 1</t>
        </is>
      </c>
      <c r="B34" s="10" t="inlineStr">
        <is>
          <t>反驳</t>
        </is>
      </c>
      <c r="C34" s="8">
        <f>pinyin(B34)</f>
        <v/>
      </c>
      <c r="D34" s="8" t="n"/>
      <c r="E34" s="8">
        <f>IFERROR(__xludf.DUMMYFUNCTION("GOOGLETRANSLATE(B34, ""zh"", ""vi"")"),"bác bỏ")</f>
        <v/>
      </c>
      <c r="F34" s="8" t="inlineStr">
        <is>
          <t>他的要求太不合理了，家里的事情怎么可能让我一个人做完，所以我当然反驳了他。</t>
        </is>
      </c>
      <c r="G34" s="8" t="inlineStr">
        <is>
          <t>反驳</t>
        </is>
      </c>
      <c r="H34" s="9">
        <f>G34=B34</f>
        <v/>
      </c>
    </row>
    <row r="35">
      <c r="A35" s="5" t="inlineStr">
        <is>
          <t>Bài 1</t>
        </is>
      </c>
      <c r="B35" s="10" t="inlineStr">
        <is>
          <t>意识</t>
        </is>
      </c>
      <c r="C35" s="8">
        <f>pinyin(B35)</f>
        <v/>
      </c>
      <c r="D35" s="8" t="n"/>
      <c r="E35" s="8">
        <f>IFERROR(__xludf.DUMMYFUNCTION("GOOGLETRANSLATE(B35, ""zh"", ""vi"")"),"ý thức")</f>
        <v/>
      </c>
      <c r="F35" s="8" t="inlineStr">
        <is>
          <t>以前总觉得年轻身体好，最近常熬夜才意识到，健康真是一点都折腾不起。</t>
        </is>
      </c>
      <c r="G35" s="8" t="inlineStr">
        <is>
          <t>意识</t>
        </is>
      </c>
      <c r="H35" s="9">
        <f>G35=B35</f>
        <v/>
      </c>
    </row>
    <row r="36">
      <c r="A36" s="5" t="inlineStr">
        <is>
          <t>Bài 1</t>
        </is>
      </c>
      <c r="B36" s="10" t="inlineStr">
        <is>
          <t>实行</t>
        </is>
      </c>
      <c r="C36" s="8">
        <f>pinyin(B36)</f>
        <v/>
      </c>
      <c r="D36" s="8" t="n"/>
      <c r="E36" s="8">
        <f>IFERROR(__xludf.DUMMYFUNCTION("GOOGLETRANSLATE(B36, ""zh"", ""vi"")"),"Triển khai")</f>
        <v/>
      </c>
      <c r="F36" s="8" t="inlineStr">
        <is>
          <t>我打算从今天开始，严格实行每晚看书半小时的计划。</t>
        </is>
      </c>
      <c r="G36" s="8" t="inlineStr">
        <is>
          <t>实行</t>
        </is>
      </c>
      <c r="H36" s="9">
        <f>G36=B36</f>
        <v/>
      </c>
    </row>
    <row r="37">
      <c r="A37" s="5" t="inlineStr">
        <is>
          <t>Bài 1</t>
        </is>
      </c>
      <c r="B37" s="10" t="inlineStr">
        <is>
          <t>严厉</t>
        </is>
      </c>
      <c r="C37" s="8">
        <f>pinyin(B37)</f>
        <v/>
      </c>
      <c r="D37" s="8" t="n"/>
      <c r="E37" s="8">
        <f>IFERROR(__xludf.DUMMYFUNCTION("GOOGLETRANSLATE(B37, ""zh"", ""vi"")"),"nghiêm trọng")</f>
        <v/>
      </c>
      <c r="F37" s="8" t="inlineStr">
        <is>
          <t>别看我爸平时总是一副很严厉的样子，其实他心里比谁都心疼我。</t>
        </is>
      </c>
      <c r="G37" s="8" t="inlineStr">
        <is>
          <t>严厉</t>
        </is>
      </c>
      <c r="H37" s="9">
        <f>G37=B37</f>
        <v/>
      </c>
    </row>
    <row r="38">
      <c r="A38" s="5" t="inlineStr">
        <is>
          <t>Bài 1</t>
        </is>
      </c>
      <c r="B38" s="10" t="inlineStr">
        <is>
          <t>反问</t>
        </is>
      </c>
      <c r="C38" s="8">
        <f>pinyin(B38)</f>
        <v/>
      </c>
      <c r="D38" s="8" t="n"/>
      <c r="E38" s="8">
        <f>IFERROR(__xludf.DUMMYFUNCTION("GOOGLETRANSLATE(B38, ""zh"", ""vi"")"),"câu hỏi tu từ")</f>
        <v/>
      </c>
      <c r="F38" s="8" t="inlineStr">
        <is>
          <t>我问他去哪，他反问我管得着吗？ / 别总用反问句跟我说话，听着心烦。</t>
        </is>
      </c>
      <c r="G38" s="8" t="inlineStr">
        <is>
          <t>反问</t>
        </is>
      </c>
      <c r="H38" s="9">
        <f>G38=B38</f>
        <v/>
      </c>
    </row>
    <row r="39">
      <c r="A39" s="5" t="inlineStr">
        <is>
          <t>Bài 1</t>
        </is>
      </c>
      <c r="B39" s="10" t="inlineStr">
        <is>
          <t>瞬间</t>
        </is>
      </c>
      <c r="C39" s="8">
        <f>pinyin(B39)</f>
        <v/>
      </c>
      <c r="D39" s="8" t="n"/>
      <c r="E39" s="8">
        <f>IFERROR(__xludf.DUMMYFUNCTION("GOOGLETRANSLATE(B39, ""zh"", ""vi"")"),"chốc lát")</f>
        <v/>
      </c>
      <c r="F39" s="8" t="inlineStr">
        <is>
          <t>看到他的那一瞬间，我突然不生气了。 / 听了这句话，我瞬间哭了出来。</t>
        </is>
      </c>
      <c r="G39" s="8" t="inlineStr">
        <is>
          <t>瞬间</t>
        </is>
      </c>
      <c r="H39" s="9">
        <f>G39=B39</f>
        <v/>
      </c>
    </row>
    <row r="40">
      <c r="A40" s="5" t="inlineStr">
        <is>
          <t>Bài 1</t>
        </is>
      </c>
      <c r="B40" s="10" t="inlineStr">
        <is>
          <t>启蒙</t>
        </is>
      </c>
      <c r="C40" s="8">
        <f>pinyin(B40)</f>
        <v/>
      </c>
      <c r="D40" s="8" t="n"/>
      <c r="E40" s="8">
        <f>IFERROR(__xludf.DUMMYFUNCTION("GOOGLETRANSLATE(B40, ""zh"", ""vi"")"),"Thời kỳ Khai sáng")</f>
        <v/>
      </c>
      <c r="F40" s="8" t="inlineStr">
        <is>
          <t>刘亦菲是我的电影启蒙。（liuyifei 是我的 dianying 启蒙）</t>
        </is>
      </c>
      <c r="G40" s="8" t="inlineStr">
        <is>
          <t>启蒙</t>
        </is>
      </c>
      <c r="H40" s="9">
        <f>G40=B40</f>
        <v/>
      </c>
    </row>
    <row r="41">
      <c r="A41" s="5" t="inlineStr">
        <is>
          <t>Bài 1</t>
        </is>
      </c>
      <c r="B41" s="10" t="inlineStr">
        <is>
          <t>任</t>
        </is>
      </c>
      <c r="C41" s="8">
        <f>pinyin(B41)</f>
        <v/>
      </c>
      <c r="D41" s="8" t="n"/>
      <c r="E41" s="8">
        <f>IFERROR(__xludf.DUMMYFUNCTION("GOOGLETRANSLATE(B41, ""zh"", ""vi"")"),"bổ nhiệm")</f>
        <v/>
      </c>
      <c r="F41" s="8" t="inlineStr">
        <is>
          <t>他是我们的第一任经理。</t>
        </is>
      </c>
      <c r="G41" s="8" t="inlineStr">
        <is>
          <t>任</t>
        </is>
      </c>
      <c r="H41" s="9">
        <f>G41=B41</f>
        <v/>
      </c>
    </row>
    <row r="42">
      <c r="A42" s="5" t="inlineStr">
        <is>
          <t>Bài 1</t>
        </is>
      </c>
      <c r="B42" s="10" t="inlineStr">
        <is>
          <t>约束</t>
        </is>
      </c>
      <c r="C42" s="8">
        <f>pinyin(B42)</f>
        <v/>
      </c>
      <c r="D42" s="8" t="n"/>
      <c r="E42" s="8">
        <f>IFERROR(__xludf.DUMMYFUNCTION("GOOGLETRANSLATE(B42, ""zh"", ""vi"")"),"ràng buộc")</f>
        <v/>
      </c>
      <c r="F42" s="8" t="inlineStr">
        <is>
          <t>（约束：Ràng buộc, gò bó）</t>
        </is>
      </c>
      <c r="G42" s="8" t="inlineStr">
        <is>
          <t>约束</t>
        </is>
      </c>
      <c r="H42" s="9">
        <f>G42=B42</f>
        <v/>
      </c>
    </row>
    <row r="43">
      <c r="A43" s="5" t="inlineStr">
        <is>
          <t>Bài 1</t>
        </is>
      </c>
      <c r="B43" s="10" t="inlineStr">
        <is>
          <t>滔滔不绝</t>
        </is>
      </c>
      <c r="C43" s="8">
        <f>pinyin(B43)</f>
        <v/>
      </c>
      <c r="D43" s="8" t="n"/>
      <c r="E43" s="8">
        <f>IFERROR(__xludf.DUMMYFUNCTION("GOOGLETRANSLATE(B43, ""zh"", ""vi"")"),"Nói nhiều")</f>
        <v/>
      </c>
      <c r="F43" s="8" t="inlineStr">
        <is>
          <t>他一喝酒就喜欢滔滔不绝。</t>
        </is>
      </c>
      <c r="G43" s="8" t="inlineStr">
        <is>
          <t>滔滔不绝</t>
        </is>
      </c>
      <c r="H43" s="9">
        <f>G43=B43</f>
        <v/>
      </c>
    </row>
    <row r="44">
      <c r="A44" s="5" t="inlineStr">
        <is>
          <t>Bài 1</t>
        </is>
      </c>
      <c r="B44" s="10" t="inlineStr">
        <is>
          <t>鸦雀无声</t>
        </is>
      </c>
      <c r="C44" s="8">
        <f>pinyin(B44)</f>
        <v/>
      </c>
      <c r="D44" s="8" t="n"/>
      <c r="E44" s="8">
        <f>IFERROR(__xludf.DUMMYFUNCTION("GOOGLETRANSLATE(B44, ""zh"", ""vi"")"),"Im lặng")</f>
        <v/>
      </c>
      <c r="F44" s="8" t="inlineStr">
        <is>
          <t>半夜的街道上鸦雀无声。</t>
        </is>
      </c>
      <c r="G44" s="8" t="inlineStr">
        <is>
          <t>鸦雀无声</t>
        </is>
      </c>
      <c r="H44" s="9">
        <f>G44=B44</f>
        <v/>
      </c>
    </row>
    <row r="45">
      <c r="A45" s="5" t="inlineStr">
        <is>
          <t>Bài 2</t>
        </is>
      </c>
      <c r="B45" s="10" t="inlineStr">
        <is>
          <t>和蔼</t>
        </is>
      </c>
      <c r="C45" s="8">
        <f>pinyin(B45)</f>
        <v/>
      </c>
      <c r="E45" s="8" t="inlineStr">
        <is>
          <t>hòa nhã</t>
        </is>
      </c>
      <c r="F45" s="8" t="inlineStr">
        <is>
          <t>我奶奶对人特别和蔼，邻居们都很喜欢她。</t>
        </is>
      </c>
      <c r="H45" s="9">
        <f>G45=B45</f>
        <v/>
      </c>
    </row>
    <row r="46">
      <c r="A46" s="5" t="inlineStr">
        <is>
          <t>Bài 2</t>
        </is>
      </c>
      <c r="B46" s="11" t="inlineStr">
        <is>
          <t>和气</t>
        </is>
      </c>
      <c r="C46" s="8">
        <f>pinyin(B46)</f>
        <v/>
      </c>
      <c r="E46" s="8">
        <f>IFERROR(__xludf.DUMMYFUNCTION("GOOGLETRANSLATE(B46, ""zh"", ""vi"")"),"Hòa hợp")</f>
        <v/>
      </c>
      <c r="F46" s="8" t="inlineStr">
        <is>
          <t>我们一家人说话总是客客气气的，日子过得很和气。</t>
        </is>
      </c>
      <c r="H46" s="9">
        <f>G46=B46</f>
        <v/>
      </c>
    </row>
    <row r="47">
      <c r="A47" s="5" t="inlineStr">
        <is>
          <t>Bài 2</t>
        </is>
      </c>
      <c r="B47" s="11" t="inlineStr">
        <is>
          <t>目光</t>
        </is>
      </c>
      <c r="C47" s="8">
        <f>pinyin(B47)</f>
        <v/>
      </c>
      <c r="E47" s="8" t="inlineStr">
        <is>
          <t>Ánh mắt</t>
        </is>
      </c>
      <c r="F47" s="8" t="inlineStr">
        <is>
          <t>你喜欢什么衣服就穿什么，不要在意别人的目光。</t>
        </is>
      </c>
      <c r="H47" s="9">
        <f>G47=B47</f>
        <v/>
      </c>
    </row>
    <row r="48">
      <c r="A48" s="5" t="inlineStr">
        <is>
          <t>Bài 2</t>
        </is>
      </c>
      <c r="B48" s="11" t="inlineStr">
        <is>
          <t>慈祥</t>
        </is>
      </c>
      <c r="C48" s="8">
        <f>pinyin(B48)</f>
        <v/>
      </c>
      <c r="E48" s="8">
        <f>IFERROR(__xludf.DUMMYFUNCTION("GOOGLETRANSLATE(B48, ""zh"", ""vi"")"),"vui lòng")</f>
        <v/>
      </c>
      <c r="F48" s="8" t="inlineStr">
        <is>
          <t>看到妈妈慈祥的目光，我心里的压力顿时消失了。</t>
        </is>
      </c>
      <c r="H48" s="9">
        <f>G48=B48</f>
        <v/>
      </c>
    </row>
    <row r="49">
      <c r="A49" s="5" t="inlineStr">
        <is>
          <t>Bài 2</t>
        </is>
      </c>
      <c r="B49" s="11" t="inlineStr">
        <is>
          <t>跨</t>
        </is>
      </c>
      <c r="C49" s="8">
        <f>pinyin(B49)</f>
        <v/>
      </c>
      <c r="E49" s="8">
        <f>IFERROR(__xludf.DUMMYFUNCTION("GOOGLETRANSLATE(B49, ""zh"", ""vi"")"),"Đi qua")</f>
        <v/>
      </c>
      <c r="F49" s="8" t="inlineStr">
        <is>
          <t>前面有一条小沟，你大步跨过去就行。</t>
        </is>
      </c>
      <c r="H49" s="9">
        <f>G49=B49</f>
        <v/>
      </c>
    </row>
    <row r="50">
      <c r="A50" s="5" t="inlineStr">
        <is>
          <t>Bài 2</t>
        </is>
      </c>
      <c r="B50" s="11" t="inlineStr">
        <is>
          <t>自主</t>
        </is>
      </c>
      <c r="C50" s="8">
        <f>pinyin(B50)</f>
        <v/>
      </c>
      <c r="E50" s="8">
        <f>IFERROR(__xludf.DUMMYFUNCTION("GOOGLETRANSLATE(B50, ""zh"", ""vi"")"),"Tự chủ")</f>
        <v/>
      </c>
      <c r="F50" s="8" t="inlineStr">
        <is>
          <t>选什么专业，由你自主决定。 / 请顾客自主取餐，谢绝浪费。</t>
        </is>
      </c>
      <c r="H50" s="9">
        <f>G50=B50</f>
        <v/>
      </c>
    </row>
    <row r="51">
      <c r="A51" s="5" t="inlineStr">
        <is>
          <t>Bài 2</t>
        </is>
      </c>
      <c r="B51" s="11" t="inlineStr">
        <is>
          <t>甭</t>
        </is>
      </c>
      <c r="C51" s="8">
        <f>pinyin(B51)</f>
        <v/>
      </c>
      <c r="E51" s="8" t="inlineStr">
        <is>
          <t>Không cần, không phải</t>
        </is>
      </c>
      <c r="F51" s="8" t="inlineStr">
        <is>
          <t>你甭哭，这次没考好下次再努力。 / 老板现在正在气头上，你甭去解释。</t>
        </is>
      </c>
      <c r="H51" s="9">
        <f>G51=B51</f>
        <v/>
      </c>
    </row>
    <row r="52">
      <c r="A52" s="5" t="inlineStr">
        <is>
          <t>Bài 2</t>
        </is>
      </c>
      <c r="B52" s="11" t="inlineStr">
        <is>
          <t>包围</t>
        </is>
      </c>
      <c r="C52" s="8">
        <f>pinyin(B52)</f>
        <v/>
      </c>
      <c r="E52" s="8">
        <f>IFERROR(__xludf.DUMMYFUNCTION("GOOGLETRANSLATE(B52, ""zh"", ""vi"")"),"Âm thanh vòm")</f>
        <v/>
      </c>
      <c r="F52" s="8" t="inlineStr">
        <is>
          <t>他从小都被家庭的爱包围着。</t>
        </is>
      </c>
      <c r="H52" s="9">
        <f>G52=B52</f>
        <v/>
      </c>
    </row>
    <row r="53">
      <c r="A53" s="5" t="inlineStr">
        <is>
          <t>Bài 2</t>
        </is>
      </c>
      <c r="B53" s="11" t="inlineStr">
        <is>
          <t>感染</t>
        </is>
      </c>
      <c r="C53" s="8">
        <f>pinyin(B53)</f>
        <v/>
      </c>
      <c r="E53" s="8">
        <f>IFERROR(__xludf.DUMMYFUNCTION("GOOGLETRANSLATE(B53, ""zh"", ""vi"")"),"Nhiễm trùng")</f>
        <v/>
      </c>
      <c r="F53" s="8" t="inlineStr">
        <is>
          <t>这部电影深深地感染了我。</t>
        </is>
      </c>
      <c r="H53" s="9">
        <f>G53=B53</f>
        <v/>
      </c>
    </row>
    <row r="54">
      <c r="A54" s="5" t="inlineStr">
        <is>
          <t>Bài 2</t>
        </is>
      </c>
      <c r="B54" s="11" t="inlineStr">
        <is>
          <t>恨不得</t>
        </is>
      </c>
      <c r="C54" s="8">
        <f>pinyin(B54)</f>
        <v/>
      </c>
      <c r="E54" s="8">
        <f>IFERROR(__xludf.DUMMYFUNCTION("GOOGLETRANSLATE(B54, ""zh"", ""vi"")"),"Tôi ước")</f>
        <v/>
      </c>
      <c r="F54" s="8" t="inlineStr">
        <is>
          <t>我恨不得马上拆开这个礼物。 / 队伍太长了，我恨不得不买了。</t>
        </is>
      </c>
      <c r="H54" s="9">
        <f>G54=B54</f>
        <v/>
      </c>
    </row>
    <row r="55">
      <c r="A55" s="5" t="inlineStr">
        <is>
          <t>Bài 2</t>
        </is>
      </c>
      <c r="B55" s="11" t="inlineStr">
        <is>
          <t>跟前</t>
        </is>
      </c>
      <c r="C55" s="8">
        <f>pinyin(B55)</f>
        <v/>
      </c>
      <c r="E55" s="8">
        <f>IFERROR(__xludf.DUMMYFUNCTION("GOOGLETRANSLATE(B55, ""zh"", ""vi"")"),"trước mặt")</f>
        <v/>
      </c>
      <c r="F55" s="8" t="inlineStr">
        <is>
          <t>橡皮就在你跟前，你怎么看不见？</t>
        </is>
      </c>
      <c r="H55" s="9">
        <f>G55=B55</f>
        <v/>
      </c>
    </row>
    <row r="56">
      <c r="A56" s="5" t="inlineStr">
        <is>
          <t>Bài 2</t>
        </is>
      </c>
      <c r="B56" s="11" t="inlineStr">
        <is>
          <t>团圆</t>
        </is>
      </c>
      <c r="C56" s="8">
        <f>pinyin(B56)</f>
        <v/>
      </c>
      <c r="E56" s="8">
        <f>IFERROR(__xludf.DUMMYFUNCTION("GOOGLETRANSLATE(B56, ""zh"", ""vi"")"),"đoàn tụ")</f>
        <v/>
      </c>
      <c r="F56" s="8" t="inlineStr">
        <is>
          <t>全家人围坐在一起吃团圆饭。</t>
        </is>
      </c>
      <c r="H56" s="9">
        <f>G56=B56</f>
        <v/>
      </c>
    </row>
    <row r="57">
      <c r="A57" s="5" t="inlineStr">
        <is>
          <t>Bài 2</t>
        </is>
      </c>
      <c r="B57" s="11" t="inlineStr">
        <is>
          <t>近来</t>
        </is>
      </c>
      <c r="C57" s="8">
        <f>pinyin(B57)</f>
        <v/>
      </c>
      <c r="E57" s="8">
        <f>IFERROR(__xludf.DUMMYFUNCTION("GOOGLETRANSLATE(B57, ""zh"", ""vi"")"),"gần đây")</f>
        <v/>
      </c>
      <c r="F57" s="8" t="inlineStr">
        <is>
          <t>近来金价上涨得厉害。</t>
        </is>
      </c>
      <c r="H57" s="9">
        <f>G57=B57</f>
        <v/>
      </c>
    </row>
    <row r="58">
      <c r="A58" s="5" t="inlineStr">
        <is>
          <t>Bài 2</t>
        </is>
      </c>
      <c r="B58" s="11" t="inlineStr">
        <is>
          <t>宠</t>
        </is>
      </c>
      <c r="C58" s="8">
        <f>pinyin(B58)</f>
        <v/>
      </c>
      <c r="E58" s="8">
        <f>IFERROR(__xludf.DUMMYFUNCTION("GOOGLETRANSLATE(B58, ""zh"", ""vi"")"),"Thú cưng")</f>
        <v/>
      </c>
      <c r="F58" s="8" t="inlineStr">
        <is>
          <t>宠爱、宠儿、得宠、失宠、受宠若惊</t>
        </is>
      </c>
      <c r="H58" s="9">
        <f>G58=B58</f>
        <v/>
      </c>
    </row>
    <row r="59">
      <c r="A59" s="5" t="inlineStr">
        <is>
          <t>Bài 2</t>
        </is>
      </c>
      <c r="B59" s="11" t="inlineStr">
        <is>
          <t>染</t>
        </is>
      </c>
      <c r="C59" s="8">
        <f>pinyin(B59)</f>
        <v/>
      </c>
      <c r="E59" s="8">
        <f>IFERROR(__xludf.DUMMYFUNCTION("GOOGLETRANSLATE(B59, ""zh"", ""vi"")"),"thuốc nhuộm")</f>
        <v/>
      </c>
      <c r="F59" s="8" t="inlineStr">
        <is>
          <t>染色素、染色、染病、一尘不染</t>
        </is>
      </c>
      <c r="H59" s="9">
        <f>G59=B59</f>
        <v/>
      </c>
    </row>
    <row r="60">
      <c r="A60" s="5" t="inlineStr">
        <is>
          <t>Bài 2</t>
        </is>
      </c>
      <c r="B60" s="11" t="inlineStr">
        <is>
          <t>恋</t>
        </is>
      </c>
      <c r="C60" s="8">
        <f>pinyin(B60)</f>
        <v/>
      </c>
      <c r="E60" s="8">
        <f>IFERROR(__xludf.DUMMYFUNCTION("GOOGLETRANSLATE(B60, ""zh"", ""vi"")"),"yêu")</f>
        <v/>
      </c>
      <c r="F60" s="8" t="inlineStr">
        <is>
          <t>恋家、恋恋不舍、留恋、迷恋、恋爱</t>
        </is>
      </c>
      <c r="H60" s="9">
        <f>G60=B60</f>
        <v/>
      </c>
    </row>
    <row r="61">
      <c r="A61" s="5" t="inlineStr">
        <is>
          <t>Bài 2</t>
        </is>
      </c>
      <c r="B61" s="11" t="inlineStr">
        <is>
          <t>隐瞒</t>
        </is>
      </c>
      <c r="C61" s="8">
        <f>pinyin(B61)</f>
        <v/>
      </c>
      <c r="E61" s="8">
        <f>IFERROR(__xludf.DUMMYFUNCTION("GOOGLETRANSLATE(B61, ""zh"", ""vi"")"),"trốn")</f>
        <v/>
      </c>
      <c r="F61" s="8" t="inlineStr">
        <is>
          <t>为了不让父母担心，我隐瞒了自己的消息。 / 夫妻之间应该坦诚，不应该有所隐瞒。</t>
        </is>
      </c>
      <c r="H61" s="9">
        <f>G61=B61</f>
        <v/>
      </c>
    </row>
    <row r="62">
      <c r="A62" s="5" t="inlineStr">
        <is>
          <t>Bài 2</t>
        </is>
      </c>
      <c r="B62" s="11" t="inlineStr">
        <is>
          <t>唠叨</t>
        </is>
      </c>
      <c r="C62" s="8">
        <f>pinyin(B62)</f>
        <v/>
      </c>
      <c r="E62" s="8">
        <f>IFERROR(__xludf.DUMMYFUNCTION("GOOGLETRANSLATE(B62, ""zh"", ""vi"")"),"cằn nhằn")</f>
        <v/>
      </c>
      <c r="F62" s="8" t="inlineStr">
        <is>
          <t>经理整天在耳边唠叨目标，压力太大了。 / 我妈总是在我耳边唠叨。都快三十了，赶紧嫁人吧！</t>
        </is>
      </c>
      <c r="H62" s="9">
        <f>G62=B62</f>
        <v/>
      </c>
    </row>
    <row r="63">
      <c r="A63" s="5" t="inlineStr">
        <is>
          <t>Bài 2</t>
        </is>
      </c>
      <c r="B63" s="11" t="inlineStr">
        <is>
          <t>吃苦</t>
        </is>
      </c>
      <c r="C63" s="8">
        <f>pinyin(B63)</f>
        <v/>
      </c>
      <c r="E63" s="8">
        <f>IFERROR(__xludf.DUMMYFUNCTION("GOOGLETRANSLATE(B63, ""zh"", ""vi"")"),"Chịu đựng gian khổ")</f>
        <v/>
      </c>
      <c r="F63" s="8" t="inlineStr">
        <is>
          <t>应该让孩子适当吃点苦，才能学会珍惜。</t>
        </is>
      </c>
      <c r="H63" s="9">
        <f>G63=B63</f>
        <v/>
      </c>
    </row>
    <row r="64">
      <c r="A64" s="5" t="inlineStr">
        <is>
          <t>Bài 2</t>
        </is>
      </c>
      <c r="B64" s="11" t="inlineStr">
        <is>
          <t>先苦后甜</t>
        </is>
      </c>
      <c r="C64" s="8">
        <f>pinyin(B64)</f>
        <v/>
      </c>
      <c r="E64" s="8">
        <f>IFERROR(__xludf.DUMMYFUNCTION("GOOGLETRANSLATE(B64, ""zh"", ""vi"")"),"Đắng trước ngọt")</f>
        <v/>
      </c>
      <c r="F64" s="8" t="inlineStr">
        <is>
          <t>先苦后甜</t>
        </is>
      </c>
      <c r="H64" s="9">
        <f>G64=B64</f>
        <v/>
      </c>
    </row>
    <row r="65">
      <c r="A65" s="5" t="inlineStr">
        <is>
          <t>Bài 2</t>
        </is>
      </c>
      <c r="B65" s="11" t="inlineStr">
        <is>
          <t>欣慰</t>
        </is>
      </c>
      <c r="C65" s="8">
        <f>pinyin(B65)</f>
        <v/>
      </c>
      <c r="E65" s="8">
        <f>IFERROR(__xludf.DUMMYFUNCTION("GOOGLETRANSLATE(B65, ""zh"", ""vi"")"),"Cảm thấy nhẹ nhõm")</f>
        <v/>
      </c>
      <c r="F65" s="8" t="inlineStr">
        <is>
          <t>孩子的微笑是父母最感到欣慰的事。</t>
        </is>
      </c>
      <c r="H65" s="9">
        <f>G65=B65</f>
        <v/>
      </c>
    </row>
    <row r="66">
      <c r="A66" s="5" t="inlineStr">
        <is>
          <t>Bài 2</t>
        </is>
      </c>
      <c r="B66" s="11" t="inlineStr">
        <is>
          <t>本事</t>
        </is>
      </c>
      <c r="C66" s="8">
        <f>pinyin(B66)</f>
        <v/>
      </c>
      <c r="E66" s="8">
        <f>IFERROR(__xludf.DUMMYFUNCTION("GOOGLETRANSLATE(B66, ""zh"", ""vi"")"),"khả năng")</f>
        <v/>
      </c>
      <c r="F66" s="8" t="inlineStr">
        <is>
          <t>能在这么短时间内解决这个问题，他真有本事。</t>
        </is>
      </c>
      <c r="H66" s="9">
        <f>G66=B66</f>
        <v/>
      </c>
    </row>
    <row r="67">
      <c r="A67" s="5" t="inlineStr">
        <is>
          <t>Bài 2</t>
        </is>
      </c>
      <c r="B67" s="11" t="inlineStr">
        <is>
          <t>皱纹</t>
        </is>
      </c>
      <c r="C67" s="8">
        <f>pinyin(B67)</f>
        <v/>
      </c>
      <c r="E67" s="8">
        <f>IFERROR(__xludf.DUMMYFUNCTION("GOOGLETRANSLATE(B67, ""zh"", ""vi"")"),"nếp nhăn")</f>
        <v/>
      </c>
      <c r="F67" s="8" t="inlineStr">
        <is>
          <t>她最近买了很多抗衰老护肤品，想减少眼角的皱纹。</t>
        </is>
      </c>
      <c r="H67" s="9">
        <f>G67=B67</f>
        <v/>
      </c>
    </row>
    <row r="68">
      <c r="A68" s="5" t="inlineStr">
        <is>
          <t>Bài 2</t>
        </is>
      </c>
      <c r="B68" s="11" t="inlineStr">
        <is>
          <t>顿时</t>
        </is>
      </c>
      <c r="C68" s="8">
        <f>pinyin(B68)</f>
        <v/>
      </c>
      <c r="E68" s="8">
        <f>IFERROR(__xludf.DUMMYFUNCTION("GOOGLETRANSLATE(B68, ""zh"", ""vi"")"),"Ngay lập tức")</f>
        <v/>
      </c>
      <c r="F68" s="8" t="inlineStr">
        <is>
          <t>听到我妹妹考上大学的消息，全家顿时欢呼起来。</t>
        </is>
      </c>
      <c r="H68" s="9">
        <f>G68=B68</f>
        <v/>
      </c>
    </row>
    <row r="69">
      <c r="A69" s="5" t="inlineStr">
        <is>
          <t>Bài 2</t>
        </is>
      </c>
      <c r="B69" s="11" t="inlineStr">
        <is>
          <t>酝酿</t>
        </is>
      </c>
      <c r="C69" s="8">
        <f>pinyin(B69)</f>
        <v/>
      </c>
      <c r="E69" s="8">
        <f>IFERROR(__xludf.DUMMYFUNCTION("GOOGLETRANSLATE(B69, ""zh"", ""vi"")"),"ủ bia")</f>
        <v/>
      </c>
      <c r="F69" s="8" t="inlineStr">
        <is>
          <t>从小我在心里正在酝酿去世界各地旅游的梦想。</t>
        </is>
      </c>
      <c r="H69" s="9">
        <f>G69=B69</f>
        <v/>
      </c>
    </row>
    <row r="70">
      <c r="A70" s="5" t="inlineStr">
        <is>
          <t>Bài 2</t>
        </is>
      </c>
      <c r="B70" s="11" t="inlineStr">
        <is>
          <t>刹那</t>
        </is>
      </c>
      <c r="C70" s="8">
        <f>pinyin(B70)</f>
        <v/>
      </c>
      <c r="E70" s="8">
        <f>IFERROR(__xludf.DUMMYFUNCTION("GOOGLETRANSLATE(B70, ""zh"", ""vi"")"),"chốc lát")</f>
        <v/>
      </c>
      <c r="F70" s="8" t="inlineStr">
        <is>
          <t>眼神交汇的刹那，她认出了他在撒谎。</t>
        </is>
      </c>
      <c r="H70" s="9">
        <f>G70=B70</f>
        <v/>
      </c>
    </row>
    <row r="71">
      <c r="A71" s="5" t="inlineStr">
        <is>
          <t>Bài 2</t>
        </is>
      </c>
      <c r="B71" s="11" t="inlineStr">
        <is>
          <t>反常</t>
        </is>
      </c>
      <c r="C71" s="8">
        <f>pinyin(B71)</f>
        <v/>
      </c>
      <c r="E71" s="8">
        <f>IFERROR(__xludf.DUMMYFUNCTION("GOOGLETRANSLATE(B71, ""zh"", ""vi"")"),"bất thường")</f>
        <v/>
      </c>
      <c r="F71" s="8" t="inlineStr">
        <is>
          <t>他今天情绪很反常，一整天都没说话。</t>
        </is>
      </c>
      <c r="H71" s="9">
        <f>G71=B71</f>
        <v/>
      </c>
    </row>
    <row r="72">
      <c r="A72" s="5" t="inlineStr">
        <is>
          <t>Bài 2</t>
        </is>
      </c>
      <c r="B72" s="11" t="inlineStr">
        <is>
          <t>埋怨</t>
        </is>
      </c>
      <c r="C72" s="8">
        <f>pinyin(B72)</f>
        <v/>
      </c>
      <c r="E72" s="8">
        <f>IFERROR(__xludf.DUMMYFUNCTION("GOOGLETRANSLATE(B72, ""zh"", ""vi"")"),"Phàn nàn")</f>
        <v/>
      </c>
      <c r="F72" s="8" t="inlineStr">
        <is>
          <t>事情已经发生了，互相埋怨也没有用，赶快想办法解决这个问题吧。</t>
        </is>
      </c>
      <c r="H72" s="9">
        <f>G72=B72</f>
        <v/>
      </c>
    </row>
    <row r="73">
      <c r="A73" s="5" t="inlineStr">
        <is>
          <t>Bài 2</t>
        </is>
      </c>
      <c r="B73" s="11" t="inlineStr">
        <is>
          <t>体谅</t>
        </is>
      </c>
      <c r="C73" s="8">
        <f>pinyin(B73)</f>
        <v/>
      </c>
      <c r="E73" s="8">
        <f>IFERROR(__xludf.DUMMYFUNCTION("GOOGLETRANSLATE(B73, ""zh"", ""vi"")"),"Hiểu biết")</f>
        <v/>
      </c>
      <c r="F73" s="8" t="inlineStr">
        <is>
          <t>长大了才能体谅父母挣钱的不容易。 / 下这么大雨，外卖迟到可以体谅。</t>
        </is>
      </c>
      <c r="H73" s="9">
        <f>G73=B73</f>
        <v/>
      </c>
    </row>
    <row r="74">
      <c r="A74" s="5" t="inlineStr">
        <is>
          <t>Bài 2</t>
        </is>
      </c>
      <c r="B74" s="11" t="inlineStr">
        <is>
          <t>规划</t>
        </is>
      </c>
      <c r="C74" s="8">
        <f>pinyin(B74)</f>
        <v/>
      </c>
      <c r="E74" s="8">
        <f>IFERROR(__xludf.DUMMYFUNCTION("GOOGLETRANSLATE(B74, ""zh"", ""vi"")"),"lập kế hoạch")</f>
        <v/>
      </c>
      <c r="F74" s="8" t="inlineStr">
        <is>
          <t>我们需要好好规划一下未来的旅游。</t>
        </is>
      </c>
      <c r="H74" s="9">
        <f>G74=B74</f>
        <v/>
      </c>
    </row>
    <row r="75">
      <c r="A75" s="5" t="inlineStr">
        <is>
          <t>Bài 2</t>
        </is>
      </c>
      <c r="B75" s="11" t="inlineStr">
        <is>
          <t>谅</t>
        </is>
      </c>
      <c r="C75" s="8">
        <f>pinyin(B75)</f>
        <v/>
      </c>
      <c r="E75" s="8">
        <f>IFERROR(__xludf.DUMMYFUNCTION("GOOGLETRANSLATE(B75, ""zh"", ""vi"")"),"Hiểu biết")</f>
        <v/>
      </c>
      <c r="H75" s="9">
        <f>G75=B75</f>
        <v/>
      </c>
    </row>
    <row r="76">
      <c r="A76" s="5" t="inlineStr">
        <is>
          <t>Bài 2</t>
        </is>
      </c>
      <c r="B76" s="11" t="inlineStr">
        <is>
          <t>埋</t>
        </is>
      </c>
      <c r="C76" s="8">
        <f>pinyin(B76)</f>
        <v/>
      </c>
      <c r="E76" s="8">
        <f>IFERROR(__xludf.DUMMYFUNCTION("GOOGLETRANSLATE(B76, ""zh"", ""vi"")"),"Chôn")</f>
        <v/>
      </c>
      <c r="H76" s="9">
        <f>G76=B76</f>
        <v/>
      </c>
    </row>
    <row r="77">
      <c r="A77" s="5" t="inlineStr">
        <is>
          <t>Bài 2</t>
        </is>
      </c>
      <c r="B77" s="11" t="inlineStr">
        <is>
          <t>熬</t>
        </is>
      </c>
      <c r="C77" s="8">
        <f>pinyin(B77)</f>
        <v/>
      </c>
      <c r="E77" s="8">
        <f>IFERROR(__xludf.DUMMYFUNCTION("GOOGLETRANSLATE(B77, ""zh"", ""vi"")"),"đun sôi")</f>
        <v/>
      </c>
      <c r="F77" s="8" t="inlineStr">
        <is>
          <t>为了赶在明天前交付项目，他昨晚熬了个通宵。</t>
        </is>
      </c>
      <c r="H77" s="9">
        <f>G77=B77</f>
        <v/>
      </c>
    </row>
    <row r="78">
      <c r="A78" s="5" t="inlineStr">
        <is>
          <t>Bài 2</t>
        </is>
      </c>
      <c r="B78" s="11" t="inlineStr">
        <is>
          <t>漫长</t>
        </is>
      </c>
      <c r="C78" s="8">
        <f>pinyin(B78)</f>
        <v/>
      </c>
      <c r="E78" s="8">
        <f>IFERROR(__xludf.DUMMYFUNCTION("GOOGLETRANSLATE(B78, ""zh"", ""vi"")"),"Dài")</f>
        <v/>
      </c>
      <c r="F78" s="8" t="inlineStr">
        <is>
          <t>经过漫长的等待，他终于成功了。</t>
        </is>
      </c>
      <c r="H78" s="9">
        <f>G78=B78</f>
        <v/>
      </c>
    </row>
    <row r="79">
      <c r="A79" s="5" t="inlineStr">
        <is>
          <t>Bài 2</t>
        </is>
      </c>
      <c r="B79" s="11" t="inlineStr">
        <is>
          <t>寂静</t>
        </is>
      </c>
      <c r="C79" s="8">
        <f>pinyin(B79)</f>
        <v/>
      </c>
      <c r="E79" s="8">
        <f>IFERROR(__xludf.DUMMYFUNCTION("GOOGLETRANSLATE(B79, ""zh"", ""vi"")"),"im lặng")</f>
        <v/>
      </c>
      <c r="F79" s="8" t="inlineStr">
        <is>
          <t>假期结束后，大家都忙着返回工作岗位，只留下父母在寂静的屋子里。</t>
        </is>
      </c>
      <c r="H79" s="9">
        <f>G79=B79</f>
        <v/>
      </c>
    </row>
    <row r="80">
      <c r="A80" s="5" t="inlineStr">
        <is>
          <t>Bài 2</t>
        </is>
      </c>
      <c r="B80" s="11" t="inlineStr">
        <is>
          <t>难得</t>
        </is>
      </c>
      <c r="C80" s="8">
        <f>pinyin(B80)</f>
        <v/>
      </c>
      <c r="E80" s="8">
        <f>IFERROR(__xludf.DUMMYFUNCTION("GOOGLETRANSLATE(B80, ""zh"", ""vi"")"),"hiếm")</f>
        <v/>
      </c>
      <c r="F80" s="8" t="inlineStr">
        <is>
          <t>难得你有空，我们去喝一杯吧！</t>
        </is>
      </c>
      <c r="H80" s="9">
        <f>G80=B80</f>
        <v/>
      </c>
    </row>
    <row r="81">
      <c r="A81" s="5" t="inlineStr">
        <is>
          <t>Bài 2</t>
        </is>
      </c>
      <c r="B81" s="11" t="inlineStr">
        <is>
          <t>心疼</t>
        </is>
      </c>
      <c r="C81" s="8">
        <f>pinyin(B81)</f>
        <v/>
      </c>
      <c r="E81" s="8">
        <f>IFERROR(__xludf.DUMMYFUNCTION("GOOGLETRANSLATE(B81, ""zh"", ""vi"")"),"Nỗi đau lòng")</f>
        <v/>
      </c>
      <c r="F81" s="8" t="inlineStr">
        <is>
          <t>刚买的新手机就摔坏了，真让人心疼。</t>
        </is>
      </c>
      <c r="H81" s="9">
        <f>G81=B81</f>
        <v/>
      </c>
    </row>
    <row r="82">
      <c r="A82" s="5" t="inlineStr">
        <is>
          <t>Bài 2</t>
        </is>
      </c>
      <c r="B82" s="11" t="inlineStr">
        <is>
          <t>掩饰</t>
        </is>
      </c>
      <c r="C82" s="8">
        <f>pinyin(B82)</f>
        <v/>
      </c>
      <c r="E82" s="8">
        <f>IFERROR(__xludf.DUMMYFUNCTION("GOOGLETRANSLATE(B82, ""zh"", ""vi"")"),"che đậy")</f>
        <v/>
      </c>
      <c r="F82" s="8" t="inlineStr">
        <is>
          <t>他撒谎是为了掩饰自己的错误。</t>
        </is>
      </c>
      <c r="H82" s="9">
        <f>G82=B82</f>
        <v/>
      </c>
    </row>
    <row r="83">
      <c r="A83" s="5" t="inlineStr">
        <is>
          <t>Bài 2</t>
        </is>
      </c>
      <c r="B83" s="11" t="inlineStr">
        <is>
          <t>无比</t>
        </is>
      </c>
      <c r="C83" s="8">
        <f>pinyin(B83)</f>
        <v/>
      </c>
      <c r="E83" s="8">
        <f>IFERROR(__xludf.DUMMYFUNCTION("GOOGLETRANSLATE(B83, ""zh"", ""vi"")"),"Vô song")</f>
        <v/>
      </c>
      <c r="F83" s="8" t="inlineStr">
        <is>
          <t>在国外旅游时，每当看到越南餐馆，我都感到无比欣喜。</t>
        </is>
      </c>
      <c r="H83" s="9">
        <f>G83=B83</f>
        <v/>
      </c>
    </row>
    <row r="84">
      <c r="A84" s="5" t="inlineStr">
        <is>
          <t>Bài 2</t>
        </is>
      </c>
      <c r="B84" s="11" t="inlineStr">
        <is>
          <t>向往</t>
        </is>
      </c>
      <c r="C84" s="8">
        <f>pinyin(B84)</f>
        <v/>
      </c>
      <c r="E84" s="8">
        <f>IFERROR(__xludf.DUMMYFUNCTION("GOOGLETRANSLATE(B84, ""zh"", ""vi"")"),"Khao khát")</f>
        <v/>
      </c>
      <c r="F84" s="8" t="inlineStr">
        <is>
          <t>我一直很向往财务自由的生活。</t>
        </is>
      </c>
      <c r="H84" s="9">
        <f>G84=B84</f>
        <v/>
      </c>
    </row>
    <row r="85">
      <c r="A85" s="5" t="inlineStr">
        <is>
          <t>Bài 2</t>
        </is>
      </c>
      <c r="B85" s="11" t="inlineStr">
        <is>
          <t>不由得</t>
        </is>
      </c>
      <c r="C85" s="8">
        <f>pinyin(B85)</f>
        <v/>
      </c>
      <c r="E85" s="8">
        <f>IFERROR(__xludf.DUMMYFUNCTION("GOOGLETRANSLATE(B85, ""zh"", ""vi"")"),"Không tự nguyện")</f>
        <v/>
      </c>
      <c r="F85" s="8" t="inlineStr">
        <is>
          <t>看到照片，她不由得想起了过去的时光。</t>
        </is>
      </c>
      <c r="H85" s="9">
        <f>G85=B85</f>
        <v/>
      </c>
    </row>
    <row r="86">
      <c r="A86" s="5" t="inlineStr">
        <is>
          <t>Bài 2</t>
        </is>
      </c>
      <c r="B86" s="11" t="inlineStr">
        <is>
          <t>热泪盈眶</t>
        </is>
      </c>
      <c r="C86" s="8">
        <f>pinyin(B86)</f>
        <v/>
      </c>
      <c r="E86" s="8">
        <f>IFERROR(__xludf.DUMMYFUNCTION("GOOGLETRANSLATE(B86, ""zh"", ""vi"")"),"Nước mắt tôi trào ra.")</f>
        <v/>
      </c>
      <c r="F86" s="8" t="inlineStr">
        <is>
          <t>这部电影太感人了，观众们都看得热泪盈眶。</t>
        </is>
      </c>
      <c r="H86" s="9">
        <f>G86=B86</f>
        <v/>
      </c>
    </row>
    <row r="87">
      <c r="A87" s="5" t="inlineStr">
        <is>
          <t>Bài 2</t>
        </is>
      </c>
      <c r="B87" s="11" t="inlineStr">
        <is>
          <t>寂寞</t>
        </is>
      </c>
      <c r="C87" s="8">
        <f>pinyin(B87)</f>
        <v/>
      </c>
      <c r="E87" s="8">
        <f>IFERROR(__xludf.DUMMYFUNCTION("GOOGLETRANSLATE(B87, ""zh"", ""vi"")"),"cô đơn")</f>
        <v/>
      </c>
      <c r="F87" s="8" t="inlineStr">
        <is>
          <t>寂寞 (người)、寂静 (không gian)、死寂 (đáng sợ)、孤寂 (vừa cô đơn vừa yên tĩnh)、万籁俱寂</t>
        </is>
      </c>
      <c r="H87" s="9">
        <f>G87=B87</f>
        <v/>
      </c>
    </row>
    <row r="88">
      <c r="A88" s="5" t="inlineStr">
        <is>
          <t>Bài 2</t>
        </is>
      </c>
      <c r="B88" s="11" t="inlineStr">
        <is>
          <t>死寂</t>
        </is>
      </c>
      <c r="C88" s="8">
        <f>pinyin(B88)</f>
        <v/>
      </c>
      <c r="E88" s="8">
        <f>IFERROR(__xludf.DUMMYFUNCTION("GOOGLETRANSLATE(B88, ""zh"", ""vi"")"),"Sự im lặng chết người")</f>
        <v/>
      </c>
      <c r="F88" s="8" t="inlineStr">
        <is>
          <t>在很多电视剧里，那些恋爱脑的女主角总是因为家人反对她和渣男恋爱，就执意要脱离家庭关系。</t>
        </is>
      </c>
      <c r="H88" s="9">
        <f>G88=B88</f>
        <v/>
      </c>
    </row>
    <row r="89">
      <c r="A89" s="5" t="inlineStr">
        <is>
          <t>Bài 2</t>
        </is>
      </c>
      <c r="B89" s="11" t="inlineStr">
        <is>
          <t>孤寂</t>
        </is>
      </c>
      <c r="C89" s="8">
        <f>pinyin(B89)</f>
        <v/>
      </c>
      <c r="E89" s="8">
        <f>IFERROR(__xludf.DUMMYFUNCTION("GOOGLETRANSLATE(B89, ""zh"", ""vi"")"),"Sự cô đơn")</f>
        <v/>
      </c>
      <c r="H89" s="9">
        <f>G89=B89</f>
        <v/>
      </c>
    </row>
    <row r="90">
      <c r="A90" s="5" t="inlineStr">
        <is>
          <t>Bài 2</t>
        </is>
      </c>
      <c r="B90" s="11" t="inlineStr">
        <is>
          <t>万籁俱寂</t>
        </is>
      </c>
      <c r="C90" s="8">
        <f>pinyin(B90)</f>
        <v/>
      </c>
      <c r="E90" s="8">
        <f>IFERROR(__xludf.DUMMYFUNCTION("GOOGLETRANSLATE(B90, ""zh"", ""vi"")"),"Tất cả đều im lặng.")</f>
        <v/>
      </c>
      <c r="H90" s="9">
        <f>G90=B90</f>
        <v/>
      </c>
    </row>
    <row r="91">
      <c r="A91" s="5" t="inlineStr">
        <is>
          <t>Bài 2</t>
        </is>
      </c>
      <c r="B91" s="11" t="inlineStr">
        <is>
          <t>脱离</t>
        </is>
      </c>
      <c r="C91" s="8">
        <f>pinyin(B91)</f>
        <v/>
      </c>
      <c r="E91" s="8">
        <f>IFERROR(__xludf.DUMMYFUNCTION("GOOGLETRANSLATE(B91, ""zh"", ""vi"")"),"tách ra")</f>
        <v/>
      </c>
      <c r="H91" s="9">
        <f>G91=B91</f>
        <v/>
      </c>
    </row>
    <row r="92">
      <c r="A92" s="5" t="inlineStr">
        <is>
          <t>Bài 2</t>
        </is>
      </c>
      <c r="B92" s="11" t="inlineStr">
        <is>
          <t>诱惑</t>
        </is>
      </c>
      <c r="C92" s="8">
        <f>pinyin(B92)</f>
        <v/>
      </c>
      <c r="E92" s="8">
        <f>IFERROR(__xludf.DUMMYFUNCTION("GOOGLETRANSLATE(B92, ""zh"", ""vi"")"),"mồi nhử")</f>
        <v/>
      </c>
      <c r="F92" s="8" t="inlineStr">
        <is>
          <t>面对金钱的诱惑，他依然选择维护公道。</t>
        </is>
      </c>
      <c r="H92" s="9">
        <f>G92=B92</f>
        <v/>
      </c>
    </row>
    <row r="93">
      <c r="A93" s="5" t="inlineStr">
        <is>
          <t>Bài 2</t>
        </is>
      </c>
      <c r="B93" s="11" t="inlineStr">
        <is>
          <t>孤独</t>
        </is>
      </c>
      <c r="C93" s="8">
        <f>pinyin(B93)</f>
        <v/>
      </c>
      <c r="E93" s="8">
        <f>IFERROR(__xludf.DUMMYFUNCTION("GOOGLETRANSLATE(B93, ""zh"", ""vi"")"),"Cô đơn")</f>
        <v/>
      </c>
      <c r="F93" s="8" t="inlineStr">
        <is>
          <t>如果这一辈子都不结婚，到晚年你就不怕孤独吗？</t>
        </is>
      </c>
      <c r="H93" s="9">
        <f>G93=B93</f>
        <v/>
      </c>
    </row>
    <row r="94">
      <c r="A94" s="5" t="inlineStr">
        <is>
          <t>Bài 2</t>
        </is>
      </c>
      <c r="B94" s="11" t="inlineStr">
        <is>
          <t>哭鼻子</t>
        </is>
      </c>
      <c r="C94" s="8">
        <f>pinyin(B94)</f>
        <v/>
      </c>
      <c r="E94" s="8">
        <f>IFERROR(__xludf.DUMMYFUNCTION("GOOGLETRANSLATE(B94, ""zh"", ""vi"")"),"Khóc")</f>
        <v/>
      </c>
      <c r="F94" s="8" t="inlineStr">
        <is>
          <t>别哭鼻子了，带你去吃好吃的。</t>
        </is>
      </c>
      <c r="H94" s="9">
        <f>G94=B94</f>
        <v/>
      </c>
    </row>
    <row r="95">
      <c r="A95" s="5" t="inlineStr">
        <is>
          <t>Bài 2</t>
        </is>
      </c>
      <c r="B95" s="11" t="inlineStr">
        <is>
          <t>片刻</t>
        </is>
      </c>
      <c r="C95" s="8">
        <f>pinyin(B95)</f>
        <v/>
      </c>
      <c r="E95" s="8">
        <f>IFERROR(__xludf.DUMMYFUNCTION("GOOGLETRANSLATE(B95, ""zh"", ""vi"")"),"chốc lát")</f>
        <v/>
      </c>
      <c r="F95" s="8" t="inlineStr">
        <is>
          <t>请稍候片刻。对不起，您拨打的电话暂时无法接通，请稍后再拨。</t>
        </is>
      </c>
      <c r="H95" s="9">
        <f>G95=B95</f>
        <v/>
      </c>
    </row>
    <row r="96">
      <c r="A96" s="5" t="inlineStr">
        <is>
          <t>Bài 2</t>
        </is>
      </c>
      <c r="B96" s="11" t="inlineStr">
        <is>
          <t>步伐</t>
        </is>
      </c>
      <c r="C96" s="8">
        <f>pinyin(B96)</f>
        <v/>
      </c>
      <c r="E96" s="8">
        <f>IFERROR(__xludf.DUMMYFUNCTION("GOOGLETRANSLATE(B96, ""zh"", ""vi"")"),"nhịp độ")</f>
        <v/>
      </c>
      <c r="F96" s="8" t="inlineStr">
        <is>
          <t>从她紧凑的步伐中可以看出，事情非常紧急。</t>
        </is>
      </c>
      <c r="H96" s="9">
        <f>G96=B96</f>
        <v/>
      </c>
    </row>
    <row r="97">
      <c r="A97" s="5" t="inlineStr">
        <is>
          <t>Bài 2</t>
        </is>
      </c>
      <c r="B97" s="11" t="inlineStr">
        <is>
          <t>稿件</t>
        </is>
      </c>
      <c r="C97" s="8">
        <f>pinyin(B97)</f>
        <v/>
      </c>
      <c r="E97" s="8">
        <f>IFERROR(__xludf.DUMMYFUNCTION("GOOGLETRANSLATE(B97, ""zh"", ""vi"")"),"Bản thảo")</f>
        <v/>
      </c>
      <c r="F97" s="8" t="inlineStr">
        <is>
          <t>因为时间太赶，这份稿件里还有不少错别字。</t>
        </is>
      </c>
      <c r="H97" s="9">
        <f>G97=B97</f>
        <v/>
      </c>
    </row>
    <row r="98">
      <c r="A98" s="5" t="inlineStr">
        <is>
          <t>Bài 2</t>
        </is>
      </c>
      <c r="B98" s="11" t="inlineStr">
        <is>
          <t>诱</t>
        </is>
      </c>
      <c r="C98" s="8">
        <f>pinyin(B98)</f>
        <v/>
      </c>
      <c r="E98" s="8">
        <f>IFERROR(__xludf.DUMMYFUNCTION("GOOGLETRANSLATE(B98, ""zh"", ""vi"")"),"Sự cám dỗ")</f>
        <v/>
      </c>
      <c r="F98" s="8" t="inlineStr">
        <is>
          <t>诱人、诱导、诱发、诱惑、诱骗、引诱</t>
        </is>
      </c>
      <c r="H98" s="9">
        <f>G98=B98</f>
        <v/>
      </c>
    </row>
    <row r="99">
      <c r="A99" s="5" t="inlineStr">
        <is>
          <t>Bài 2</t>
        </is>
      </c>
      <c r="B99" s="11" t="inlineStr">
        <is>
          <t>惑</t>
        </is>
      </c>
      <c r="C99" s="8">
        <f>pinyin(B99)</f>
        <v/>
      </c>
      <c r="E99" s="8">
        <f>IFERROR(__xludf.DUMMYFUNCTION("GOOGLETRANSLATE(B99, ""zh"", ""vi"")"),"Bối rối")</f>
        <v/>
      </c>
      <c r="F99" s="8" t="inlineStr">
        <is>
          <t>蛊惑、妖言惑众、迷惑、疑惑、诱惑</t>
        </is>
      </c>
      <c r="H99" s="9">
        <f>G99=B99</f>
        <v/>
      </c>
    </row>
    <row r="100">
      <c r="A100" s="5" t="inlineStr">
        <is>
          <t>Bài 3</t>
        </is>
      </c>
      <c r="B100" s="6" t="inlineStr">
        <is>
          <t>月饼</t>
        </is>
      </c>
      <c r="C100" s="8">
        <f>pinyin(B100)</f>
        <v/>
      </c>
      <c r="D100" s="8" t="inlineStr">
        <is>
          <t>中秋节赏月时吃的一种传统圆形饼食。</t>
        </is>
      </c>
      <c r="E100" s="8">
        <f>IFERROR(__xludf.DUMMYFUNCTION("GOOGLETRANSLATE(B100, ""zh"", ""vi"")"),"bánh trung thu")</f>
        <v/>
      </c>
      <c r="F100" s="8" t="inlineStr">
        <is>
          <t>每年中秋节，全家人都会一起吃月饼。 // 这家店的冰皮月饼卖得特别好。</t>
        </is>
      </c>
      <c r="H100" s="9">
        <f>G100=B100</f>
        <v/>
      </c>
    </row>
    <row r="101">
      <c r="A101" s="5" t="inlineStr">
        <is>
          <t>Bài 3</t>
        </is>
      </c>
      <c r="B101" s="6" t="inlineStr">
        <is>
          <t>清晨</t>
        </is>
      </c>
      <c r="C101" s="8">
        <f>pinyin(B101)</f>
        <v/>
      </c>
      <c r="D101" s="8" t="inlineStr">
        <is>
          <t xml:space="preserve">6-7h 天刚亮的时候，指日出前后的一段时间 》 早上， 凌晨 </t>
        </is>
      </c>
      <c r="E101" s="8">
        <f>IFERROR(__xludf.DUMMYFUNCTION("GOOGLETRANSLATE(B101, ""zh"", ""vi"")"),"sáng sớm")</f>
        <v/>
      </c>
      <c r="F101" s="8" t="inlineStr">
        <is>
          <t>他每天清晨六点准时起床去跑步。 // 清晨的空气非常清新，让人心情舒畅。</t>
        </is>
      </c>
      <c r="H101" s="9">
        <f>G101=B101</f>
        <v/>
      </c>
    </row>
    <row r="102">
      <c r="A102" s="5" t="inlineStr">
        <is>
          <t>Bài 3</t>
        </is>
      </c>
      <c r="B102" s="6" t="inlineStr">
        <is>
          <t>迎面</t>
        </is>
      </c>
      <c r="C102" s="8">
        <f>pinyin(B102)</f>
        <v/>
      </c>
      <c r="D102" s="8" t="inlineStr">
        <is>
          <t>正面迎着（走过来的人、风或物等）。</t>
        </is>
      </c>
      <c r="E102" s="8">
        <f>IFERROR(__xludf.DUMMYFUNCTION("GOOGLETRANSLATE(B102, ""zh"", ""vi"")"),"Đối diện")</f>
        <v/>
      </c>
      <c r="F102" s="8" t="inlineStr">
        <is>
          <t>迎面走来了一位热情的老朋友。 // 迎面吹来的凉风打断了他的思绪。</t>
        </is>
      </c>
      <c r="H102" s="9">
        <f>G102=B102</f>
        <v/>
      </c>
    </row>
    <row r="103">
      <c r="A103" s="5" t="inlineStr">
        <is>
          <t>Bài 3</t>
        </is>
      </c>
      <c r="B103" s="6" t="inlineStr">
        <is>
          <t>模样</t>
        </is>
      </c>
      <c r="C103" s="8">
        <f>pinyin(B103)</f>
        <v/>
      </c>
      <c r="D103" s="8" t="inlineStr">
        <is>
          <t>人的长相、外形，状态，展现出来的样子。长得</t>
        </is>
      </c>
      <c r="E103" s="8">
        <f>IFERROR(__xludf.DUMMYFUNCTION("GOOGLETRANSLATE(B103, ""zh"", ""vi"")"),"vẻ bề ngoài")</f>
        <v/>
      </c>
      <c r="F103" s="8" t="inlineStr">
        <is>
          <t>几年不见，他的模样真是一点没变。 // 看这孩子的模样，长大后一定很帅气。</t>
        </is>
      </c>
      <c r="H103" s="9">
        <f>G103=B103</f>
        <v/>
      </c>
    </row>
    <row r="104">
      <c r="A104" s="5" t="inlineStr">
        <is>
          <t>Bài 3</t>
        </is>
      </c>
      <c r="B104" s="6" t="inlineStr">
        <is>
          <t>打量</t>
        </is>
      </c>
      <c r="C104" s="8">
        <f>pinyin(B104)</f>
        <v/>
      </c>
      <c r="D104" s="8" t="inlineStr">
        <is>
          <t>仔细地察看（从头到脚，什么样的人）。</t>
        </is>
      </c>
      <c r="E104" s="8" t="inlineStr">
        <is>
          <t>quan sát</t>
        </is>
      </c>
      <c r="F104" s="8" t="inlineStr">
        <is>
          <t>保安上下打量了那个陌生人很久。 // 妈妈仔细打量着儿子带回来的女朋友。</t>
        </is>
      </c>
      <c r="H104" s="9">
        <f>G104=B104</f>
        <v/>
      </c>
    </row>
    <row r="105">
      <c r="A105" s="5" t="inlineStr">
        <is>
          <t>Bài 3</t>
        </is>
      </c>
      <c r="B105" s="6" t="inlineStr">
        <is>
          <t>番</t>
        </is>
      </c>
      <c r="C105" s="8">
        <f>pinyin(B105)</f>
        <v/>
      </c>
      <c r="D105" s="8" t="inlineStr">
        <is>
          <t>表示次数或过程。更长更认真</t>
        </is>
      </c>
      <c r="E105" s="8" t="inlineStr">
        <is>
          <t>lượt, lần</t>
        </is>
      </c>
      <c r="F105" s="8" t="inlineStr">
        <is>
          <t>听了老师的一番话，他顿时明白了。 // 经过一番激烈的争论，大家终于达成了共识。</t>
        </is>
      </c>
      <c r="H105" s="9">
        <f>G105=B105</f>
        <v/>
      </c>
    </row>
    <row r="106">
      <c r="A106" s="5" t="inlineStr">
        <is>
          <t>Bài 3</t>
        </is>
      </c>
      <c r="B106" s="6" t="inlineStr">
        <is>
          <t>搓</t>
        </is>
      </c>
      <c r="C106" s="8">
        <f>pinyin(B106)</f>
        <v/>
      </c>
      <c r="D106" s="8" t="inlineStr">
        <is>
          <t>两个手掌反复揉动或把手掌放在别的东西上揉。</t>
        </is>
      </c>
      <c r="E106" s="8" t="inlineStr">
        <is>
          <t>xoa, vò</t>
        </is>
      </c>
      <c r="F106" s="8" t="inlineStr">
        <is>
          <t>天气太冷了，他不停地用双手搓脸。 // 奶奶一边搓着衣服，一边和邻居聊天。</t>
        </is>
      </c>
      <c r="H106" s="9">
        <f>G106=B106</f>
        <v/>
      </c>
    </row>
    <row r="107">
      <c r="A107" s="5" t="inlineStr">
        <is>
          <t>Bài 3</t>
        </is>
      </c>
      <c r="B107" s="6" t="inlineStr">
        <is>
          <t>饱经沧桑</t>
        </is>
      </c>
      <c r="C107" s="8">
        <f>pinyin(B107)</f>
        <v/>
      </c>
      <c r="D107" s="8" t="inlineStr">
        <is>
          <t>外貌/青神被经历过很多事情/困难</t>
        </is>
      </c>
      <c r="E107" s="8">
        <f>IFERROR(__xludf.DUMMYFUNCTION("GOOGLETRANSLATE(B107, ""zh"", ""vi"")"),"bị bào mòn bởi thời gian")</f>
        <v/>
      </c>
      <c r="F107" s="8" t="inlineStr">
        <is>
          <t>老人那饱经沧桑的脸上满是皱纹。 // 这座古老的城市饱经沧桑，见证了无数历史。</t>
        </is>
      </c>
      <c r="H107" s="9">
        <f>G107=B107</f>
        <v/>
      </c>
    </row>
    <row r="108">
      <c r="A108" s="5" t="inlineStr">
        <is>
          <t>Bài 3</t>
        </is>
      </c>
      <c r="B108" s="6" t="inlineStr">
        <is>
          <t>迟疑</t>
        </is>
      </c>
      <c r="C108" s="8">
        <f>pinyin(B108)</f>
        <v/>
      </c>
      <c r="D108" s="8" t="inlineStr">
        <is>
          <t>拿不定主意，犹豫不决。不知道怎么做</t>
        </is>
      </c>
      <c r="E108" s="8">
        <f>IFERROR(__xludf.DUMMYFUNCTION("GOOGLETRANSLATE(B108, ""zh"", ""vi"")"),"do dự")</f>
        <v/>
      </c>
      <c r="F108" s="8" t="inlineStr">
        <is>
          <t>面对这个艰难的选择，他迟疑了很久。 // 看到交警过来，那个司机神色迟疑地停下了车。</t>
        </is>
      </c>
      <c r="H108" s="9">
        <f>G108=B108</f>
        <v/>
      </c>
    </row>
    <row r="109">
      <c r="A109" s="5" t="inlineStr">
        <is>
          <t>Bài 3</t>
        </is>
      </c>
      <c r="B109" s="6" t="inlineStr">
        <is>
          <t>拜托</t>
        </is>
      </c>
      <c r="C109" s="8">
        <f>pinyin(B109)</f>
        <v/>
      </c>
      <c r="D109" s="8" t="inlineStr">
        <is>
          <t>客气话，请帮助</t>
        </is>
      </c>
      <c r="E109" s="8" t="inlineStr">
        <is>
          <t>xin nhơ gì đó</t>
        </is>
      </c>
      <c r="F109" s="8" t="inlineStr">
        <is>
          <t>这件事就拜托您帮我打听一下了。 // 我有急事要出一趟远门，家里的猫就拜托你了。</t>
        </is>
      </c>
      <c r="H109" s="9">
        <f>G109=B109</f>
        <v/>
      </c>
    </row>
    <row r="110">
      <c r="A110" s="5" t="inlineStr">
        <is>
          <t>Bài 3</t>
        </is>
      </c>
      <c r="B110" s="6" t="inlineStr">
        <is>
          <t>流露</t>
        </is>
      </c>
      <c r="C110" s="8">
        <f>pinyin(B110)</f>
        <v/>
      </c>
      <c r="D110" s="8" t="inlineStr">
        <is>
          <t>（意思、感情等）自然地表现出来。</t>
        </is>
      </c>
      <c r="E110" s="8" t="inlineStr">
        <is>
          <t>bộc lộ</t>
        </is>
      </c>
      <c r="F110" s="8" t="inlineStr">
        <is>
          <t>他的眼神里流露出难以掩饰的喜悦。 // 这首诗里流露出作者对故乡的深深思念。</t>
        </is>
      </c>
      <c r="H110" s="9">
        <f>G110=B110</f>
        <v/>
      </c>
    </row>
    <row r="111">
      <c r="A111" s="5" t="inlineStr">
        <is>
          <t>Bài 3</t>
        </is>
      </c>
      <c r="B111" s="6" t="inlineStr">
        <is>
          <t>朴实</t>
        </is>
      </c>
      <c r="C111" s="8">
        <f>pinyin(B111)</f>
        <v/>
      </c>
      <c r="D111" s="8" t="inlineStr">
        <is>
          <t>性格： 诚实  //   衣服： 简单。</t>
        </is>
      </c>
      <c r="E111" s="8" t="inlineStr">
        <is>
          <t>thật thà, chất phác</t>
        </is>
      </c>
      <c r="F111" s="8" t="inlineStr">
        <is>
          <t>这个农村小伙子为人非常朴实。 // 他的文章语言朴实，却非常感人。</t>
        </is>
      </c>
      <c r="H111" s="9">
        <f>G111=B111</f>
        <v/>
      </c>
    </row>
    <row r="112">
      <c r="A112" s="5" t="inlineStr">
        <is>
          <t>Bài 3</t>
        </is>
      </c>
      <c r="B112" s="6" t="inlineStr">
        <is>
          <t>过于</t>
        </is>
      </c>
      <c r="C112" s="8">
        <f>pinyin(B112)</f>
        <v/>
      </c>
      <c r="D112" s="8" t="inlineStr">
        <is>
          <t>不好 - 过分。。。</t>
        </is>
      </c>
      <c r="E112" s="8" t="inlineStr">
        <is>
          <t>quá ...</t>
        </is>
      </c>
      <c r="F112" s="8" t="inlineStr">
        <is>
          <t>这种款式过于陈旧，不太适合年轻人。 // 你对他的要求过于严格，他会吃不消的。</t>
        </is>
      </c>
      <c r="H112" s="9">
        <f>G112=B112</f>
        <v/>
      </c>
    </row>
    <row r="113">
      <c r="A113" s="5" t="inlineStr">
        <is>
          <t>Bài 3</t>
        </is>
      </c>
      <c r="B113" s="6" t="inlineStr">
        <is>
          <t>操劳</t>
        </is>
      </c>
      <c r="C113" s="8">
        <f>pinyin(B113)</f>
        <v/>
      </c>
      <c r="D113" s="8" t="inlineStr">
        <is>
          <t>辛苦地耗费精力去计划和辛勤工作。</t>
        </is>
      </c>
      <c r="E113" s="8">
        <f>IFERROR(__xludf.DUMMYFUNCTION("GOOGLETRANSLATE(B113, ""zh"", ""vi"")"),"công việc chăm chỉ")</f>
        <v/>
      </c>
      <c r="F113" s="8" t="inlineStr">
        <is>
          <t>父母为了供我上学，整日辛苦操劳。 // 奶奶为这个家操劳了一辈子，现在该好好享福了。</t>
        </is>
      </c>
      <c r="H113" s="9">
        <f>G113=B113</f>
        <v/>
      </c>
    </row>
    <row r="114">
      <c r="A114" s="5" t="inlineStr">
        <is>
          <t>Bài 3</t>
        </is>
      </c>
      <c r="B114" s="6" t="inlineStr">
        <is>
          <t>胡须</t>
        </is>
      </c>
      <c r="C114" s="8">
        <f>pinyin(B114)</f>
        <v/>
      </c>
      <c r="D114" s="8" t="inlineStr">
        <is>
          <t>男子下颌、面颊和上唇生长的毛发。</t>
        </is>
      </c>
      <c r="E114" s="8">
        <f>IFERROR(__xludf.DUMMYFUNCTION("GOOGLETRANSLATE(B114, ""zh"", ""vi"")"),"râu ")</f>
        <v/>
      </c>
      <c r="F114" s="8" t="inlineStr">
        <is>
          <t>他的下巴上长满了浓密的胡须。 // 那个留着长胡须的老人看起来像个艺术家。</t>
        </is>
      </c>
      <c r="H114" s="9">
        <f>G114=B114</f>
        <v/>
      </c>
    </row>
    <row r="115">
      <c r="A115" s="5" t="inlineStr">
        <is>
          <t>Bài 3</t>
        </is>
      </c>
      <c r="B115" s="6" t="inlineStr">
        <is>
          <t>起码</t>
        </is>
      </c>
      <c r="C115" s="8">
        <f>pinyin(B115)</f>
        <v/>
      </c>
      <c r="D115" s="8" t="inlineStr">
        <is>
          <t>最低限度的，至少（表程度或数量的底线）。</t>
        </is>
      </c>
      <c r="E115" s="8">
        <f>IFERROR(__xludf.DUMMYFUNCTION("GOOGLETRANSLATE(B115, ""zh"", ""vi"")"),"ít nhất")</f>
        <v/>
      </c>
      <c r="F115" s="8" t="inlineStr">
        <is>
          <t>这点小事，你起码也该跟我说一声。 // 想要通过这次考试，你起码得复习两遍。</t>
        </is>
      </c>
      <c r="H115" s="9">
        <f>G115=B115</f>
        <v/>
      </c>
    </row>
    <row r="116">
      <c r="A116" s="5" t="inlineStr">
        <is>
          <t>Bài 3</t>
        </is>
      </c>
      <c r="B116" s="6" t="inlineStr">
        <is>
          <t>口音</t>
        </is>
      </c>
      <c r="C116" s="8">
        <f>pinyin(B116)</f>
        <v/>
      </c>
      <c r="D116" s="8" t="inlineStr">
        <is>
          <t>通过声音发现从地方的人， 农村vs城市</t>
        </is>
      </c>
      <c r="E116" s="8">
        <f>IFERROR(__xludf.DUMMYFUNCTION("GOOGLETRANSLATE(B116, ""zh"", ""vi"")"),"giọng")</f>
        <v/>
      </c>
      <c r="F116" s="8" t="inlineStr">
        <is>
          <t>虽然他住在北京，但说话还带点南方口音。 // 听他的口音，应该是个四川人。</t>
        </is>
      </c>
      <c r="H116" s="9">
        <f>G116=B116</f>
        <v/>
      </c>
    </row>
    <row r="117">
      <c r="A117" s="5" t="inlineStr">
        <is>
          <t>Bài 3</t>
        </is>
      </c>
      <c r="B117" s="6" t="inlineStr">
        <is>
          <t>乡镇</t>
        </is>
      </c>
      <c r="C117" s="8">
        <f>pinyin(B117)</f>
        <v/>
      </c>
      <c r="D117" s="8" t="inlineStr">
        <is>
          <t>较小的行政区域，通常指农村行政建制。</t>
        </is>
      </c>
      <c r="E117" s="8">
        <f>IFERROR(__xludf.DUMMYFUNCTION("GOOGLETRANSLATE(B117, ""zh"", ""vi"")"),"Các thị trấn")</f>
        <v/>
      </c>
      <c r="F117" s="8" t="inlineStr">
        <is>
          <t>这里的乡镇这几年发展得非常快。 // 假期的时候，他喜欢去清静的乡镇度假。</t>
        </is>
      </c>
      <c r="H117" s="9">
        <f>G117=B117</f>
        <v/>
      </c>
    </row>
    <row r="118">
      <c r="A118" s="5" t="inlineStr">
        <is>
          <t>Bài 3</t>
        </is>
      </c>
      <c r="B118" s="6" t="inlineStr">
        <is>
          <t>原先</t>
        </is>
      </c>
      <c r="C118" s="8">
        <f>pinyin(B118)</f>
        <v/>
      </c>
      <c r="D118" s="8" t="inlineStr">
        <is>
          <t>从前，最初的时候（指过去的情况）。</t>
        </is>
      </c>
      <c r="E118" s="8" t="inlineStr">
        <is>
          <t>ban đầu, trước đây</t>
        </is>
      </c>
      <c r="F118" s="8" t="inlineStr">
        <is>
          <t>我原先以为他不会来，没想到他到了。 // 这栋大楼的原先设计并不是这样的。</t>
        </is>
      </c>
      <c r="H118" s="9">
        <f>G118=B118</f>
        <v/>
      </c>
    </row>
    <row r="119">
      <c r="A119" s="5" t="inlineStr">
        <is>
          <t>Bài 3</t>
        </is>
      </c>
      <c r="B119" s="6" t="inlineStr">
        <is>
          <t>裁缝</t>
        </is>
      </c>
      <c r="C119" s="8">
        <f>pinyin(B119)</f>
        <v/>
      </c>
      <c r="D119" s="8" t="inlineStr">
        <is>
          <t>做衣服的职业或指替人缝制衣服的工人。</t>
        </is>
      </c>
      <c r="E119" s="8">
        <f>IFERROR(__xludf.DUMMYFUNCTION("GOOGLETRANSLATE(B119, ""zh"", ""vi"")"),"thợ may")</f>
        <v/>
      </c>
      <c r="F119" s="8" t="inlineStr">
        <is>
          <t>这件西装是找老裁缝专门量身定制的。 // 随着成衣的发展，现在的裁缝店越来越少了。</t>
        </is>
      </c>
      <c r="H119" s="9">
        <f>G119=B119</f>
        <v/>
      </c>
    </row>
    <row r="120">
      <c r="A120" s="5" t="inlineStr">
        <is>
          <t>Bài 3</t>
        </is>
      </c>
      <c r="B120" s="6" t="inlineStr">
        <is>
          <t>港口</t>
        </is>
      </c>
      <c r="C120" s="8">
        <f>pinyin(B120)</f>
        <v/>
      </c>
      <c r="D120" s="8" t="inlineStr">
        <is>
          <t>有避风防浪设施、供船舶停泊的岸边区域。</t>
        </is>
      </c>
      <c r="E120" s="8">
        <f>IFERROR(__xludf.DUMMYFUNCTION("GOOGLETRANSLATE(B120, ""zh"", ""vi"")"),"cảng")</f>
        <v/>
      </c>
      <c r="F120" s="8" t="inlineStr">
        <is>
          <t>巨大的货轮缓缓驶入了繁忙的港口。 // 那个古老的港口现在已经变成了旅游景点。</t>
        </is>
      </c>
      <c r="H120" s="9">
        <f>G120=B120</f>
        <v/>
      </c>
    </row>
    <row r="121">
      <c r="A121" s="5" t="inlineStr">
        <is>
          <t>Bài 3</t>
        </is>
      </c>
      <c r="B121" s="6" t="inlineStr">
        <is>
          <t>斯文</t>
        </is>
      </c>
      <c r="C121" s="8">
        <f>pinyin(B121)</f>
        <v/>
      </c>
      <c r="D121" s="8" t="inlineStr">
        <is>
          <t>有礼貌、有读书。</t>
        </is>
      </c>
      <c r="E121" s="8" t="inlineStr">
        <is>
          <t>lịch sự</t>
        </is>
      </c>
      <c r="F121" s="8" t="inlineStr">
        <is>
          <t>他说话慢条斯理的，举止非常斯文。 // 别看他表面上戴个眼镜很斯文，其实脾气大得很。</t>
        </is>
      </c>
      <c r="H121" s="9">
        <f>G121=B121</f>
        <v/>
      </c>
    </row>
    <row r="122">
      <c r="A122" s="5" t="inlineStr">
        <is>
          <t>Bài 3</t>
        </is>
      </c>
      <c r="B122" s="6" t="inlineStr">
        <is>
          <t>心眼儿</t>
        </is>
      </c>
      <c r="C122" s="8">
        <f>pinyin(B122)</f>
        <v/>
      </c>
      <c r="D122" s="8" t="inlineStr">
        <is>
          <t>指人的心地、心计或气量。</t>
        </is>
      </c>
      <c r="E122" s="8" t="inlineStr">
        <is>
          <t>lòng, bụng dạ</t>
        </is>
      </c>
      <c r="F122" s="8" t="inlineStr">
        <is>
          <t>她人很好，没有那么多坏心眼儿。 // 别跟他耍心眼儿，他一眼就能看穿。</t>
        </is>
      </c>
      <c r="H122" s="9">
        <f>G122=B122</f>
        <v/>
      </c>
    </row>
    <row r="123">
      <c r="A123" s="5" t="inlineStr">
        <is>
          <t>Bài 3</t>
        </is>
      </c>
      <c r="B123" s="6" t="inlineStr">
        <is>
          <t>信誉</t>
        </is>
      </c>
      <c r="C123" s="8">
        <f>pinyin(B123)</f>
        <v/>
      </c>
      <c r="D123" s="8" t="inlineStr">
        <is>
          <t>诚实守信的名誉和声望。信任</t>
        </is>
      </c>
      <c r="E123" s="8">
        <f>IFERROR(__xludf.DUMMYFUNCTION("GOOGLETRANSLATE(B123, ""zh"", ""vi"")"),"Danh tiếng")</f>
        <v/>
      </c>
      <c r="F123" s="8" t="inlineStr">
        <is>
          <t>这家百年老店在市场上很有信誉。 // 一个人如果失去了信誉，就很难在社会上立足。</t>
        </is>
      </c>
      <c r="H123" s="9">
        <f>G123=B123</f>
        <v/>
      </c>
    </row>
    <row r="124">
      <c r="A124" s="5" t="inlineStr">
        <is>
          <t>Bài 3</t>
        </is>
      </c>
      <c r="B124" s="6" t="inlineStr">
        <is>
          <t>欺骗</t>
        </is>
      </c>
      <c r="C124" s="8">
        <f>pinyin(B124)</f>
        <v/>
      </c>
      <c r="D124" s="8" t="inlineStr">
        <is>
          <t>用虚假的话或手段掩盖真相，使人上当。</t>
        </is>
      </c>
      <c r="E124" s="8" t="inlineStr">
        <is>
          <t>lừa gạt</t>
        </is>
      </c>
      <c r="F124" s="8" t="inlineStr">
        <is>
          <t>商业宣传中绝对不能有欺骗消费者的行为。 // 他因为欺骗朋友而感到十分内疚。</t>
        </is>
      </c>
      <c r="H124" s="9">
        <f>G124=B124</f>
        <v/>
      </c>
    </row>
    <row r="125">
      <c r="A125" s="5" t="inlineStr">
        <is>
          <t>Bài 3</t>
        </is>
      </c>
      <c r="B125" s="6" t="inlineStr">
        <is>
          <t>学位</t>
        </is>
      </c>
      <c r="C125" s="8">
        <f>pinyin(B125)</f>
        <v/>
      </c>
      <c r="D125" s="8" t="inlineStr">
        <is>
          <t>衡量一个人学术水平的称号（如学士、硕士、博士）。</t>
        </is>
      </c>
      <c r="E125" s="8" t="inlineStr">
        <is>
          <t>học vị</t>
        </is>
      </c>
      <c r="F125" s="8" t="inlineStr">
        <is>
          <t>经过四年的努力，他终于拿到了学士学位。 // 博士学位是目前高等教育中最高级别的学位。</t>
        </is>
      </c>
      <c r="H125" s="9">
        <f>G125=B125</f>
        <v/>
      </c>
    </row>
    <row r="126">
      <c r="A126" s="5" t="inlineStr">
        <is>
          <t>Bài 3</t>
        </is>
      </c>
      <c r="B126" s="6" t="inlineStr">
        <is>
          <t>一流</t>
        </is>
      </c>
      <c r="C126" s="8">
        <f>pinyin(B126)</f>
        <v/>
      </c>
      <c r="D126" s="8" t="inlineStr">
        <is>
          <t>级别最高、质量或能力最好的。最好</t>
        </is>
      </c>
      <c r="E126" s="8">
        <f>IFERROR(__xludf.DUMMYFUNCTION("GOOGLETRANSLATE(B126, ""zh"", ""vi"")"),"Hạng nhất")</f>
        <v/>
      </c>
      <c r="F126" s="8" t="inlineStr">
        <is>
          <t>这家大学拥有国内一流的师资力量。 // 这家酒店的服务和设施绝对是一流的。</t>
        </is>
      </c>
      <c r="H126" s="9">
        <f>G126=B126</f>
        <v/>
      </c>
    </row>
    <row r="127">
      <c r="A127" s="5" t="inlineStr">
        <is>
          <t>Bài 3</t>
        </is>
      </c>
      <c r="B127" s="6" t="inlineStr">
        <is>
          <t>骨干</t>
        </is>
      </c>
      <c r="C127" s="8">
        <f>pinyin(B127)</f>
        <v/>
      </c>
      <c r="D127" s="8" t="inlineStr">
        <is>
          <t>主要/重要的人</t>
        </is>
      </c>
      <c r="E127" s="8">
        <f>IFERROR(__xludf.DUMMYFUNCTION("GOOGLETRANSLATE(B127, ""zh"", ""vi"")"),"xương sống")</f>
        <v/>
      </c>
      <c r="F127" s="8" t="inlineStr">
        <is>
          <t>他现在是公司研发部门的技术骨干。 // 学校挑选了一批年轻老师作为未来的教学骨干。</t>
        </is>
      </c>
      <c r="H127" s="9">
        <f>G127=B127</f>
        <v/>
      </c>
    </row>
    <row r="128">
      <c r="A128" s="5" t="inlineStr">
        <is>
          <t>Bài 3</t>
        </is>
      </c>
      <c r="B128" s="6" t="inlineStr">
        <is>
          <t>拨</t>
        </is>
      </c>
      <c r="C128" s="8">
        <f>pinyin(B128)</f>
        <v/>
      </c>
      <c r="D128" s="8" t="inlineStr">
        <is>
          <t>打电话 // 开</t>
        </is>
      </c>
      <c r="E128" s="8" t="inlineStr">
        <is>
          <t>quay số gọi điện thoại</t>
        </is>
      </c>
      <c r="F128" s="8" t="inlineStr">
        <is>
          <t>政府已经拨了一笔专款用于学校建设。 // 经理从其他部门拨了三个人过来帮忙。</t>
        </is>
      </c>
      <c r="H128" s="9">
        <f>G128=B128</f>
        <v/>
      </c>
    </row>
    <row r="129">
      <c r="A129" s="5" t="inlineStr">
        <is>
          <t>Bài 3</t>
        </is>
      </c>
      <c r="B129" s="6" t="inlineStr">
        <is>
          <t>仍旧</t>
        </is>
      </c>
      <c r="C129" s="8">
        <f>pinyin(B129)</f>
        <v/>
      </c>
      <c r="D129" s="8" t="inlineStr">
        <is>
          <t>没有发生变化</t>
        </is>
      </c>
      <c r="E129" s="8">
        <f>IFERROR(__xludf.DUMMYFUNCTION("GOOGLETRANSLATE(B129, ""zh"", ""vi"")"),"Vẫn")</f>
        <v/>
      </c>
      <c r="F129" s="8" t="inlineStr">
        <is>
          <t>尽管过了很多年，他仍旧保持着看书的习惯。 // 虽然遇到了很多困难，但他的想法仍旧没有改变。</t>
        </is>
      </c>
      <c r="H129" s="9">
        <f>G129=B129</f>
        <v/>
      </c>
    </row>
    <row r="130">
      <c r="A130" s="5" t="inlineStr">
        <is>
          <t>Bài 3</t>
        </is>
      </c>
      <c r="B130" s="6" t="inlineStr">
        <is>
          <t>隐约</t>
        </is>
      </c>
      <c r="C130" s="8">
        <f>pinyin(B130)</f>
        <v/>
      </c>
      <c r="D130" s="8" t="inlineStr">
        <is>
          <t>看起来或听起来不很清楚，感觉不明显。</t>
        </is>
      </c>
      <c r="E130" s="8" t="inlineStr">
        <is>
          <t>lờ mờ</t>
        </is>
      </c>
      <c r="F130" s="8" t="inlineStr">
        <is>
          <t>雾太大了，只能隐约看到远处山峰的轮廓。 // 睡梦中，她隐约听到了敲门的声音。</t>
        </is>
      </c>
      <c r="H130" s="9">
        <f>G130=B130</f>
        <v/>
      </c>
    </row>
    <row r="131">
      <c r="A131" s="5" t="inlineStr">
        <is>
          <t>Bài 3</t>
        </is>
      </c>
      <c r="B131" s="6" t="inlineStr">
        <is>
          <t>辜负</t>
        </is>
      </c>
      <c r="C131" s="8">
        <f>pinyin(B131)</f>
        <v/>
      </c>
      <c r="D131" s="8" t="inlineStr">
        <is>
          <t>对不起别人的好意、期望或信任。</t>
        </is>
      </c>
      <c r="E131" s="8" t="inlineStr">
        <is>
          <t>phụ lòng</t>
        </is>
      </c>
      <c r="F131" s="8" t="inlineStr">
        <is>
          <t>我一定要好好努力，绝不辜负父母的期望。 // 他的表现太令人失望了，完全辜负了大家的信任。</t>
        </is>
      </c>
      <c r="H131" s="9">
        <f>G131=B131</f>
        <v/>
      </c>
    </row>
    <row r="132">
      <c r="A132" s="5" t="inlineStr">
        <is>
          <t>Bài 3</t>
        </is>
      </c>
      <c r="B132" s="6" t="inlineStr">
        <is>
          <t>期望</t>
        </is>
      </c>
      <c r="C132" s="8">
        <f>pinyin(B132)</f>
        <v/>
      </c>
      <c r="D132" s="8" t="inlineStr">
        <is>
          <t>长辈给期望</t>
        </is>
      </c>
      <c r="E132" s="8">
        <f>IFERROR(__xludf.DUMMYFUNCTION("GOOGLETRANSLATE(B132, ""zh"", ""vi"")"),"trông chờ")</f>
        <v/>
      </c>
      <c r="F132" s="8" t="inlineStr">
        <is>
          <t>老师对这批学生寄予了高期望。 // 父母对孩子的期望太高，往往会给孩子带来压力。</t>
        </is>
      </c>
      <c r="H132" s="9">
        <f>G132=B132</f>
        <v/>
      </c>
    </row>
    <row r="133">
      <c r="A133" s="5" t="inlineStr">
        <is>
          <t>Bài 3</t>
        </is>
      </c>
      <c r="B133" s="6" t="inlineStr">
        <is>
          <t>浑身</t>
        </is>
      </c>
      <c r="C133" s="8">
        <f>pinyin(B133)</f>
        <v/>
      </c>
      <c r="D133" s="8" t="inlineStr">
        <is>
          <t>指人，从头到脚的整个身体。</t>
        </is>
      </c>
      <c r="E133" s="8">
        <f>IFERROR(__xludf.DUMMYFUNCTION("GOOGLETRANSLATE(B133, ""zh"", ""vi"")"),"toàn thân")</f>
        <v/>
      </c>
      <c r="F133" s="8" t="inlineStr">
        <is>
          <t>刚运动完，他浑身都是汗。 // 听完那个恐怖故事，他吓得浑身发抖。</t>
        </is>
      </c>
      <c r="H133" s="9">
        <f>G133=B133</f>
        <v/>
      </c>
    </row>
    <row r="134">
      <c r="A134" s="5" t="inlineStr">
        <is>
          <t>Bài 3</t>
        </is>
      </c>
      <c r="B134" s="6" t="inlineStr">
        <is>
          <t>惦记</t>
        </is>
      </c>
      <c r="C134" s="8">
        <f>pinyin(B134)</f>
        <v/>
      </c>
      <c r="D134" s="8" t="inlineStr">
        <is>
          <t>心里想某件事 / 人</t>
        </is>
      </c>
      <c r="E134" s="8">
        <f>IFERROR(__xludf.DUMMYFUNCTION("GOOGLETRANSLATE(B134, ""zh"", ""vi"")"),"Nghĩ về")</f>
        <v/>
      </c>
      <c r="F134" s="8" t="inlineStr">
        <is>
          <t>妈妈在家里总是惦记着在外读书的儿子。 // 别总惦记着工作，周末好好放松一下吧。</t>
        </is>
      </c>
      <c r="H134" s="9">
        <f>G134=B134</f>
        <v/>
      </c>
    </row>
    <row r="135">
      <c r="A135" s="5" t="inlineStr">
        <is>
          <t>Bài 3</t>
        </is>
      </c>
      <c r="B135" s="6" t="inlineStr">
        <is>
          <t>丢人</t>
        </is>
      </c>
      <c r="C135" s="8">
        <f>pinyin(B135)</f>
        <v/>
      </c>
      <c r="D135" s="8" t="inlineStr">
        <is>
          <t>丢脸，没有脸</t>
        </is>
      </c>
      <c r="E135" s="8" t="inlineStr">
        <is>
          <t>mất mặt</t>
        </is>
      </c>
      <c r="F135" s="8" t="inlineStr">
        <is>
          <t>在公共场合大吵大闹是一件很丢人的事。 // 他觉得考了最后一名在同学面前很丢人。</t>
        </is>
      </c>
      <c r="H135" s="9">
        <f>G135=B135</f>
        <v/>
      </c>
    </row>
    <row r="136">
      <c r="A136" s="5" t="inlineStr">
        <is>
          <t>Bài 3</t>
        </is>
      </c>
      <c r="B136" s="6" t="inlineStr">
        <is>
          <t>炫耀</t>
        </is>
      </c>
      <c r="C136" s="8">
        <f>pinyin(B136)</f>
        <v/>
      </c>
      <c r="D136" s="8" t="inlineStr">
        <is>
          <t>故意让人羡慕，展示自己的长处或财富给别人看。</t>
        </is>
      </c>
      <c r="E136" s="8">
        <f>IFERROR(__xludf.DUMMYFUNCTION("GOOGLETRANSLATE(B136, ""zh"", ""vi"")"),"khoe khoang")</f>
        <v/>
      </c>
      <c r="F136" s="8" t="inlineStr">
        <is>
          <t>他很低调，从来不向别人炫耀自己的成绩。 // 她一买了新包就忍不住发朋友圈炫耀。</t>
        </is>
      </c>
      <c r="H136" s="9">
        <f>G136=B136</f>
        <v/>
      </c>
    </row>
    <row r="137">
      <c r="A137" s="5" t="inlineStr">
        <is>
          <t>Bài 3</t>
        </is>
      </c>
      <c r="B137" s="6" t="inlineStr">
        <is>
          <t>小心翼翼</t>
        </is>
      </c>
      <c r="C137" s="8">
        <f>pinyin(B137)</f>
        <v/>
      </c>
      <c r="D137" s="8" t="inlineStr">
        <is>
          <t>非常小心</t>
        </is>
      </c>
      <c r="E137" s="8">
        <f>IFERROR(__xludf.DUMMYFUNCTION("GOOGLETRANSLATE(B137, ""zh"", ""vi"")"),"thận trọng")</f>
        <v/>
      </c>
      <c r="F137" s="8" t="inlineStr">
        <is>
          <t>母亲小心翼翼地抱着刚出生的婴儿。 // 护士小心翼翼地把药水注入到试管中。</t>
        </is>
      </c>
      <c r="H137" s="9">
        <f>G137=B137</f>
        <v/>
      </c>
    </row>
    <row r="138">
      <c r="A138" s="5" t="inlineStr">
        <is>
          <t>Bài 3</t>
        </is>
      </c>
      <c r="B138" s="6" t="inlineStr">
        <is>
          <t>面子</t>
        </is>
      </c>
      <c r="C138" s="8">
        <f>pinyin(B138)</f>
        <v/>
      </c>
      <c r="D138" s="8" t="inlineStr">
        <is>
          <t>个人在别人际的样子、尊严。</t>
        </is>
      </c>
      <c r="E138" s="8">
        <f>IFERROR(__xludf.DUMMYFUNCTION("GOOGLETRANSLATE(B138, ""zh"", ""vi"")"),"khuôn mặt")</f>
        <v/>
      </c>
      <c r="F138" s="8" t="inlineStr">
        <is>
          <t>中国人常说，在人际交往中要给足对方面子。 // 他为了顾全自己的面子，故意撒了谎。</t>
        </is>
      </c>
      <c r="H138" s="9">
        <f>G138=B138</f>
        <v/>
      </c>
    </row>
    <row r="139">
      <c r="A139" s="5" t="inlineStr">
        <is>
          <t>Bài 3</t>
        </is>
      </c>
      <c r="B139" s="6" t="inlineStr">
        <is>
          <t>主管</t>
        </is>
      </c>
      <c r="C139" s="8">
        <f>pinyin(B139)</f>
        <v/>
      </c>
      <c r="D139" s="8" t="inlineStr">
        <is>
          <t>主要管一个部门/群人</t>
        </is>
      </c>
      <c r="E139" s="8">
        <f>IFERROR(__xludf.DUMMYFUNCTION("GOOGLETRANSLATE(B139, ""zh"", ""vi"")"),"giám đốc")</f>
        <v/>
      </c>
      <c r="F139" s="8" t="inlineStr">
        <is>
          <t>他是这个项目的总主管，所有事都要找他确认。 // 财务主管正在认真地核对上个月的账目。</t>
        </is>
      </c>
      <c r="H139" s="9">
        <f>G139=B139</f>
        <v/>
      </c>
    </row>
    <row r="140">
      <c r="A140" s="5" t="inlineStr">
        <is>
          <t>Bài 3</t>
        </is>
      </c>
      <c r="B140" s="6" t="inlineStr">
        <is>
          <t>助手</t>
        </is>
      </c>
      <c r="C140" s="8">
        <f>pinyin(B140)</f>
        <v/>
      </c>
      <c r="D140" s="8" t="inlineStr">
        <is>
          <t>帮助的人</t>
        </is>
      </c>
      <c r="E140" s="8">
        <f>IFERROR(__xludf.DUMMYFUNCTION("GOOGLETRANSLATE(B140, ""zh"", ""vi"")"),"trợ lý")</f>
        <v/>
      </c>
      <c r="F140" s="8" t="inlineStr">
        <is>
          <t>经理最近工作太忙，公司给他配了一名助手。 // 实验课上，同学们都成了教授的得力助手。</t>
        </is>
      </c>
      <c r="H140" s="9">
        <f>G140=B140</f>
        <v/>
      </c>
    </row>
    <row r="141">
      <c r="A141" s="5" t="inlineStr">
        <is>
          <t>Bài 3</t>
        </is>
      </c>
      <c r="B141" s="6" t="inlineStr">
        <is>
          <t>喜悦</t>
        </is>
      </c>
      <c r="C141" s="8">
        <f>pinyin(B141)</f>
        <v/>
      </c>
      <c r="D141" s="8" t="inlineStr">
        <is>
          <t>内心非常高兴、愉快。</t>
        </is>
      </c>
      <c r="E141" s="8">
        <f>IFERROR(__xludf.DUMMYFUNCTION("GOOGLETRANSLATE(B141, ""zh"", ""vi"")"),"vui sướng")</f>
        <v/>
      </c>
      <c r="F141" s="8" t="inlineStr">
        <is>
          <t>听到获奖的消息，他的脸上露出了喜悦的笑容。 // 新年将至，大街小巷都洋溢着节日的喜悦。</t>
        </is>
      </c>
      <c r="H141" s="9">
        <f>G141=B141</f>
        <v/>
      </c>
    </row>
    <row r="142">
      <c r="A142" s="5" t="inlineStr">
        <is>
          <t>Bài 3</t>
        </is>
      </c>
      <c r="B142" s="6" t="inlineStr">
        <is>
          <t>馅儿</t>
        </is>
      </c>
      <c r="C142" s="8">
        <f>pinyin(B142)</f>
        <v/>
      </c>
      <c r="D142" s="8" t="inlineStr">
        <is>
          <t>包在面皮里面的肉、菜等食物。</t>
        </is>
      </c>
      <c r="E142" s="8" t="inlineStr">
        <is>
          <t>nhân bánh</t>
        </is>
      </c>
      <c r="F142" s="8" t="inlineStr">
        <is>
          <t>这种北方饺子的馅儿很大，皮薄肉多。 // 妈妈今天准备做红豆馅儿的包子。</t>
        </is>
      </c>
      <c r="H142" s="9">
        <f>G142=B142</f>
        <v/>
      </c>
    </row>
    <row r="143">
      <c r="A143" s="5" t="inlineStr">
        <is>
          <t>Bài 3</t>
        </is>
      </c>
      <c r="B143" s="6" t="inlineStr">
        <is>
          <t>灿烂</t>
        </is>
      </c>
      <c r="C143" s="8">
        <f>pinyin(B143)</f>
        <v/>
      </c>
      <c r="D143" s="8" t="inlineStr">
        <is>
          <t>太阳光</t>
        </is>
      </c>
      <c r="E143" s="8" t="inlineStr">
        <is>
          <t>rực rỡ, tỏa sáng</t>
        </is>
      </c>
      <c r="F143" s="8" t="inlineStr">
        <is>
          <t>阳光洒在海面上，波光粼粼，十分灿烂。 // 孩子们在草地上奔跑，脸上挂着灿烂的笑容。</t>
        </is>
      </c>
      <c r="H143" s="9">
        <f>G143=B143</f>
        <v/>
      </c>
    </row>
    <row r="144">
      <c r="A144" s="8" t="inlineStr">
        <is>
          <t>Bài 4</t>
        </is>
      </c>
      <c r="B144" s="6" t="inlineStr">
        <is>
          <t>厌倦</t>
        </is>
      </c>
      <c r="C144" s="8">
        <f>pinyin(B144)</f>
        <v/>
      </c>
      <c r="D144" s="8" t="inlineStr">
        <is>
          <t>做太多了，感到没有意思，甚至讨厌</t>
        </is>
      </c>
      <c r="E144" s="8">
        <f>IFERROR(__xludf.DUMMYFUNCTION("GOOGLETRANSLATE(B144, ""zh"", ""vi"")"),"Chán")</f>
        <v/>
      </c>
      <c r="F144" s="8" t="inlineStr">
        <is>
          <t>毕业后他突然对城市生活感到厌倦。 // 做这份工作久了，我有点厌倦了。</t>
        </is>
      </c>
      <c r="H144" s="9">
        <f>G144=B144</f>
        <v/>
      </c>
    </row>
    <row r="145">
      <c r="A145" s="8" t="inlineStr">
        <is>
          <t>Bài 4</t>
        </is>
      </c>
      <c r="B145" s="6" t="inlineStr">
        <is>
          <t>厌恶</t>
        </is>
      </c>
      <c r="C145" s="8">
        <f>pinyin(B145)</f>
        <v/>
      </c>
      <c r="D145" s="8" t="inlineStr">
        <is>
          <t>特别对某人或某事产生极其反感、讨厌和恶心的情绪</t>
        </is>
      </c>
      <c r="E145" s="8" t="inlineStr">
        <is>
          <t>chán ghét</t>
        </is>
      </c>
      <c r="F145" s="8" t="inlineStr">
        <is>
          <t>我非常厌恶那些不守信用的人。 // 看到他的态度，她掩饰不住内心的厌恶。</t>
        </is>
      </c>
      <c r="H145" s="9">
        <f>G145=B145</f>
        <v/>
      </c>
    </row>
    <row r="146">
      <c r="A146" s="8" t="inlineStr">
        <is>
          <t>Bài 4</t>
        </is>
      </c>
      <c r="B146" s="6" t="inlineStr">
        <is>
          <t>倘若</t>
        </is>
      </c>
      <c r="C146" s="8">
        <f>pinyin(B146)</f>
        <v/>
      </c>
      <c r="D146" s="8" t="inlineStr">
        <is>
          <t>假如 。。。</t>
        </is>
      </c>
      <c r="E146" s="8">
        <f>IFERROR(__xludf.DUMMYFUNCTION("GOOGLETRANSLATE(B146, ""zh"", ""vi"")"),"nếu như")</f>
        <v/>
      </c>
      <c r="F146" s="8" t="inlineStr">
        <is>
          <t>倘若明天地下雨，运动会将推迟。 // 倘若有机会重来，我一定会好好珍惜。</t>
        </is>
      </c>
      <c r="H146" s="9">
        <f>G146=B146</f>
        <v/>
      </c>
    </row>
    <row r="147">
      <c r="A147" s="8" t="inlineStr">
        <is>
          <t>Bài 4</t>
        </is>
      </c>
      <c r="B147" s="6" t="inlineStr">
        <is>
          <t>发觉</t>
        </is>
      </c>
      <c r="C147" s="8">
        <f>pinyin(B147)</f>
        <v/>
      </c>
      <c r="D147" s="8" t="inlineStr">
        <is>
          <t>开始注意到或者察觉到某种不容易被发现的变化</t>
        </is>
      </c>
      <c r="E147" s="8" t="inlineStr">
        <is>
          <t>phát hiện</t>
        </is>
      </c>
      <c r="F147" s="8" t="inlineStr">
        <is>
          <t>直到今天我才发觉她瘦了很多。 // 他突然发觉大家都在看着自己。</t>
        </is>
      </c>
      <c r="H147" s="9">
        <f>G147=B147</f>
        <v/>
      </c>
    </row>
    <row r="148">
      <c r="A148" s="8" t="inlineStr">
        <is>
          <t>Bài 4</t>
        </is>
      </c>
      <c r="B148" s="6" t="inlineStr">
        <is>
          <t>承诺</t>
        </is>
      </c>
      <c r="C148" s="8">
        <f>pinyin(B148)</f>
        <v/>
      </c>
      <c r="D148" s="8" t="inlineStr">
        <is>
          <t>答应别人一件事</t>
        </is>
      </c>
      <c r="E148" s="8">
        <f>IFERROR(__xludf.DUMMYFUNCTION("GOOGLETRANSLATE(B148, ""zh"", ""vi"")"),"hứa")</f>
        <v/>
      </c>
      <c r="F148" s="8" t="inlineStr">
        <is>
          <t>既然承诺了别人，就一定要做到。 // 公司承诺会按时完成项目。</t>
        </is>
      </c>
      <c r="H148" s="9">
        <f>G148=B148</f>
        <v/>
      </c>
    </row>
    <row r="149">
      <c r="A149" s="8" t="inlineStr">
        <is>
          <t>Bài 4</t>
        </is>
      </c>
      <c r="B149" s="6" t="inlineStr">
        <is>
          <t>实施</t>
        </is>
      </c>
      <c r="C149" s="8">
        <f>pinyin(B149)</f>
        <v/>
      </c>
      <c r="D149" s="8" t="inlineStr">
        <is>
          <t>把已经定好的计划、法令或政策拿到实际中去做到</t>
        </is>
      </c>
      <c r="E149" s="8">
        <f>IFERROR(__xludf.DUMMYFUNCTION("GOOGLETRANSLATE(B149, ""zh"", ""vi"")"),"Triển khai")</f>
        <v/>
      </c>
      <c r="F149" s="8" t="inlineStr">
        <is>
          <t>这个计划将从下个月开始实施。 // 新措施已经得到了有效实施。</t>
        </is>
      </c>
      <c r="H149" s="9">
        <f>G149=B149</f>
        <v/>
      </c>
    </row>
    <row r="150">
      <c r="A150" s="8" t="inlineStr">
        <is>
          <t>Bài 4</t>
        </is>
      </c>
      <c r="B150" s="6" t="inlineStr">
        <is>
          <t xml:space="preserve">乘 </t>
        </is>
      </c>
      <c r="C150" s="8">
        <f>pinyin(B150)</f>
        <v/>
      </c>
      <c r="D150" s="8" t="inlineStr">
        <is>
          <t>利用有利的时间、机会，或者坐、搭乘交通工具</t>
        </is>
      </c>
      <c r="E150" s="8">
        <f>IFERROR(__xludf.DUMMYFUNCTION("GOOGLETRANSLATE(B150, ""zh"", ""vi"")"),"lấy ")</f>
        <v/>
      </c>
      <c r="F150" s="8" t="inlineStr">
        <is>
          <t>乘着年轻，要好好学习。 // 乘他不注意，她便离开了。</t>
        </is>
      </c>
      <c r="H150" s="9">
        <f>G150=B150</f>
        <v/>
      </c>
    </row>
    <row r="151">
      <c r="A151" s="8" t="inlineStr">
        <is>
          <t>Bài 4</t>
        </is>
      </c>
      <c r="B151" s="6" t="inlineStr">
        <is>
          <t>喘气</t>
        </is>
      </c>
      <c r="C151" s="8">
        <f>pinyin(B151)</f>
        <v/>
      </c>
      <c r="D151" s="8" t="inlineStr">
        <is>
          <t>由于累或急促而大口大口地呼吸，或者短暂休息</t>
        </is>
      </c>
      <c r="E151" s="8">
        <f>IFERROR(__xludf.DUMMYFUNCTION("GOOGLETRANSLATE(B151, ""zh"", ""vi"")"),"quần")</f>
        <v/>
      </c>
      <c r="F151" s="8" t="inlineStr">
        <is>
          <t>一口气跑上五楼，累得我直喘气。 // 工作太忙了，连喘气的功夫都没有。</t>
        </is>
      </c>
      <c r="H151" s="9">
        <f>G151=B151</f>
        <v/>
      </c>
    </row>
    <row r="152">
      <c r="A152" s="8" t="inlineStr">
        <is>
          <t>Bài 4</t>
        </is>
      </c>
      <c r="B152" s="6" t="inlineStr">
        <is>
          <t>饶恕</t>
        </is>
      </c>
      <c r="C152" s="8">
        <f>pinyin(B152)</f>
        <v/>
      </c>
      <c r="D152" s="8" t="inlineStr">
        <is>
          <t>原谅犯了严重错误或罪过的人，不再计较和惩罚</t>
        </is>
      </c>
      <c r="E152" s="8">
        <f>IFERROR(__xludf.DUMMYFUNCTION("GOOGLETRANSLATE(B152, ""zh"", ""vi"")"),"tha thứ")</f>
        <v/>
      </c>
      <c r="F152" s="8" t="inlineStr">
        <is>
          <t>请饶恕我这次的错误。 // 这种背叛的行为绝不能饶恕。</t>
        </is>
      </c>
      <c r="H152" s="9">
        <f>G152=B152</f>
        <v/>
      </c>
    </row>
    <row r="153">
      <c r="A153" s="8" t="inlineStr">
        <is>
          <t>Bài 4</t>
        </is>
      </c>
      <c r="B153" s="6" t="inlineStr">
        <is>
          <t>强迫·</t>
        </is>
      </c>
      <c r="C153" s="8">
        <f>pinyin(B153)</f>
        <v/>
      </c>
      <c r="D153" s="8" t="inlineStr">
        <is>
          <t>必须做一个某事情</t>
        </is>
      </c>
      <c r="E153" s="8" t="inlineStr">
        <is>
          <t>bắt buộc</t>
        </is>
      </c>
      <c r="F153" s="8" t="inlineStr">
        <is>
          <t>不要强迫别人做不喜欢的事。 // 我被父母强迫去相亲。</t>
        </is>
      </c>
      <c r="H153" s="9">
        <f>G153=B153</f>
        <v/>
      </c>
    </row>
    <row r="154">
      <c r="A154" s="8" t="inlineStr">
        <is>
          <t>Bài 4</t>
        </is>
      </c>
      <c r="B154" s="6" t="inlineStr">
        <is>
          <t>蔑视</t>
        </is>
      </c>
      <c r="C154" s="8">
        <f>pinyin(B154)</f>
        <v/>
      </c>
      <c r="D154" s="8" t="inlineStr">
        <is>
          <t>看不起别人，不重视人</t>
        </is>
      </c>
      <c r="E154" s="8">
        <f>IFERROR(__xludf.DUMMYFUNCTION("GOOGLETRANSLATE(B154, ""zh"", ""vi"")"),"khinh miệt")</f>
        <v/>
      </c>
      <c r="F154" s="8" t="inlineStr">
        <is>
          <t>我们不能蔑视任何人。 // 他那蔑视的目光让我很不舒服。</t>
        </is>
      </c>
      <c r="H154" s="9">
        <f>G154=B154</f>
        <v/>
      </c>
    </row>
    <row r="155">
      <c r="A155" s="8" t="inlineStr">
        <is>
          <t>Bài 4</t>
        </is>
      </c>
      <c r="B155" s="6" t="inlineStr">
        <is>
          <t>不料</t>
        </is>
      </c>
      <c r="C155" s="8">
        <f>pinyin(B155)</f>
        <v/>
      </c>
      <c r="D155" s="8" t="inlineStr">
        <is>
          <t>没想到突然发生什么事情</t>
        </is>
      </c>
      <c r="E155" s="8">
        <f>IFERROR(__xludf.DUMMYFUNCTION("GOOGLETRANSLATE(B155, ""zh"", ""vi"")"),"bất ngờ")</f>
        <v/>
      </c>
      <c r="F155" s="8" t="inlineStr">
        <is>
          <t>我正想去找他，不料他自己来了。 // 天气正晴朗，不料突然下起了大雨。</t>
        </is>
      </c>
      <c r="H155" s="9">
        <f>G155=B155</f>
        <v/>
      </c>
    </row>
    <row r="156">
      <c r="A156" s="8" t="inlineStr">
        <is>
          <t>Bài 4</t>
        </is>
      </c>
      <c r="B156" s="6" t="inlineStr">
        <is>
          <t>草率</t>
        </is>
      </c>
      <c r="C156" s="8">
        <f>pinyin(B156)</f>
        <v/>
      </c>
      <c r="D156" s="8" t="inlineStr">
        <is>
          <t>没思考，快做决定</t>
        </is>
      </c>
      <c r="E156" s="8">
        <f>IFERROR(__xludf.DUMMYFUNCTION("GOOGLETRANSLATE(B156, ""zh"", ""vi"")"),"vội vàng")</f>
        <v/>
      </c>
      <c r="F156" s="8" t="inlineStr">
        <is>
          <t>结婚是一辈子的事，不能草率。 // 他做决定太草率了，所以才出了差错。</t>
        </is>
      </c>
      <c r="H156" s="9">
        <f>G156=B156</f>
        <v/>
      </c>
    </row>
    <row r="157">
      <c r="A157" s="8" t="inlineStr">
        <is>
          <t>Bài 4</t>
        </is>
      </c>
      <c r="B157" s="6" t="inlineStr">
        <is>
          <t>猛烈</t>
        </is>
      </c>
      <c r="C157" s="8">
        <f>pinyin(B157)</f>
        <v/>
      </c>
      <c r="D157" s="8" t="inlineStr">
        <is>
          <t>力量非常大，强，或者程度很厉害</t>
        </is>
      </c>
      <c r="E157" s="8">
        <f>IFERROR(__xludf.DUMMYFUNCTION("GOOGLETRANSLATE(B157, ""zh"", ""vi"")"),"hung bạo")</f>
        <v/>
      </c>
      <c r="F157" s="8" t="inlineStr">
        <is>
          <t>暴风雨在夜里猛烈地发作。 // 比赛进行得非常猛烈。</t>
        </is>
      </c>
      <c r="H157" s="9">
        <f>G157=B157</f>
        <v/>
      </c>
    </row>
    <row r="158">
      <c r="A158" s="8" t="inlineStr">
        <is>
          <t>Bài 4</t>
        </is>
      </c>
      <c r="B158" s="6" t="inlineStr">
        <is>
          <t>眼光</t>
        </is>
      </c>
      <c r="C158" s="8">
        <f>pinyin(B158)</f>
        <v/>
      </c>
      <c r="D158" s="8" t="inlineStr">
        <is>
          <t>判断能力、看事情的能力</t>
        </is>
      </c>
      <c r="E158" s="8" t="inlineStr">
        <is>
          <t>ánh mắt</t>
        </is>
      </c>
      <c r="F158" s="8" t="inlineStr">
        <is>
          <t>他的眼光里充满了自信。 // 她很有眼光，挑的衣服都很漂亮。</t>
        </is>
      </c>
      <c r="H158" s="9">
        <f>G158=B158</f>
        <v/>
      </c>
    </row>
    <row r="159">
      <c r="A159" s="8" t="inlineStr">
        <is>
          <t>Bài 4</t>
        </is>
      </c>
      <c r="B159" s="6" t="inlineStr">
        <is>
          <t>盯</t>
        </is>
      </c>
      <c r="C159" s="8">
        <f>pinyin(B159)</f>
        <v/>
      </c>
      <c r="D159" s="8" t="inlineStr">
        <is>
          <t>一直地看着，一动也不动地注视着</t>
        </is>
      </c>
      <c r="E159" s="8">
        <f>IFERROR(__xludf.DUMMYFUNCTION("GOOGLETRANSLATE(B159, ""zh"", ""vi"")"),"nhìn chằm chằm")</f>
        <v/>
      </c>
      <c r="F159" s="8" t="inlineStr">
        <is>
          <t>别总是盯人看，这样很不礼貌。 // 小狗紧紧盯着桌上的肉。</t>
        </is>
      </c>
      <c r="H159" s="9">
        <f>G159=B159</f>
        <v/>
      </c>
    </row>
    <row r="160">
      <c r="A160" s="8" t="inlineStr">
        <is>
          <t>Bài 4</t>
        </is>
      </c>
      <c r="B160" s="6" t="inlineStr">
        <is>
          <t>愤怒</t>
        </is>
      </c>
      <c r="C160" s="8">
        <f>pinyin(B160)</f>
        <v/>
      </c>
      <c r="D160" s="8" t="inlineStr">
        <is>
          <t>很生气， 比较大， 太严重</t>
        </is>
      </c>
      <c r="E160" s="8">
        <f>IFERROR(__xludf.DUMMYFUNCTION("GOOGLETRANSLATE(B160, ""zh"", ""vi"")"),"sự tức giận")</f>
        <v/>
      </c>
      <c r="F160" s="8" t="inlineStr">
        <is>
          <t>他的行为激怒了所有人，令大家无比愤怒。 // 她努力压制住内心的愤怒。</t>
        </is>
      </c>
      <c r="H160" s="9">
        <f>G160=B160</f>
        <v/>
      </c>
    </row>
    <row r="161">
      <c r="A161" s="8" t="inlineStr">
        <is>
          <t>Bài 4</t>
        </is>
      </c>
      <c r="B161" s="6" t="inlineStr">
        <is>
          <t>愚蠢</t>
        </is>
      </c>
      <c r="C161" s="8">
        <f>pinyin(B161)</f>
        <v/>
      </c>
      <c r="D161" s="8" t="inlineStr">
        <is>
          <t>智力低下，非常不聪明，做出不该做的傻事</t>
        </is>
      </c>
      <c r="E161" s="8" t="inlineStr">
        <is>
          <t>ngu xuẩn, ngu đần</t>
        </is>
      </c>
      <c r="F161" s="8" t="inlineStr">
        <is>
          <t>这样做是一个非常愚蠢的决定。 // 别再问这种愚蠢的问题了。</t>
        </is>
      </c>
      <c r="H161" s="9">
        <f>G161=B161</f>
        <v/>
      </c>
    </row>
    <row r="162">
      <c r="A162" s="8" t="inlineStr">
        <is>
          <t>Bài 4</t>
        </is>
      </c>
      <c r="B162" s="6" t="inlineStr">
        <is>
          <t>家伙</t>
        </is>
      </c>
      <c r="C162" s="8">
        <f>pinyin(B162)</f>
        <v/>
      </c>
      <c r="D162" s="8" t="inlineStr">
        <is>
          <t>对好朋友，小孩子，动物， 工作的工具</t>
        </is>
      </c>
      <c r="E162" s="8">
        <f>IFERROR(__xludf.DUMMYFUNCTION("GOOGLETRANSLATE(B162, ""zh"", ""vi"")"),"chàng trai")</f>
        <v/>
      </c>
      <c r="F162" s="8" t="inlineStr">
        <is>
          <t>这个家伙真让人头疼。 // 这个小家伙太可爱了。</t>
        </is>
      </c>
      <c r="H162" s="9">
        <f>G162=B162</f>
        <v/>
      </c>
    </row>
    <row r="163">
      <c r="A163" s="8" t="inlineStr">
        <is>
          <t>Bài 4</t>
        </is>
      </c>
      <c r="B163" s="6" t="inlineStr">
        <is>
          <t>可恶</t>
        </is>
      </c>
      <c r="C163" s="8">
        <f>pinyin(B163)</f>
        <v/>
      </c>
      <c r="D163" s="8" t="inlineStr">
        <is>
          <t>让人心里非常讨厌，非常可恨</t>
        </is>
      </c>
      <c r="E163" s="8">
        <f>IFERROR(__xludf.DUMMYFUNCTION("GOOGLETRANSLATE(B163, ""zh"", ""vi"")"),"đáng ghét")</f>
        <v/>
      </c>
      <c r="F163" s="8" t="inlineStr">
        <is>
          <t>这天气真可恶，总是下雨。 // 骗子是最可恶的。</t>
        </is>
      </c>
      <c r="H163" s="9">
        <f>G163=B163</f>
        <v/>
      </c>
    </row>
    <row r="164">
      <c r="A164" s="8" t="inlineStr">
        <is>
          <t>Bài 4</t>
        </is>
      </c>
      <c r="B164" s="6" t="inlineStr">
        <is>
          <t>耍</t>
        </is>
      </c>
      <c r="C164" s="8">
        <f>pinyin(B164)</f>
        <v/>
      </c>
      <c r="D164" s="8" t="inlineStr">
        <is>
          <t>骗人， 故意开玩笑让人对联</t>
        </is>
      </c>
      <c r="E164" s="8">
        <f>IFERROR(__xludf.DUMMYFUNCTION("GOOGLETRANSLATE(B164, ""zh"", ""vi"")"),"Chơi")</f>
        <v/>
      </c>
      <c r="F164" s="8" t="inlineStr">
        <is>
          <t>别在我面前耍花招了。 // 他又在耍小孩子脾气了。</t>
        </is>
      </c>
      <c r="H164" s="9">
        <f>G164=B164</f>
        <v/>
      </c>
    </row>
    <row r="165">
      <c r="A165" s="8" t="inlineStr">
        <is>
          <t>Bài 4</t>
        </is>
      </c>
      <c r="B165" s="6" t="inlineStr">
        <is>
          <t>对抗</t>
        </is>
      </c>
      <c r="C165" s="8">
        <f>pinyin(B165)</f>
        <v/>
      </c>
      <c r="D165" s="8" t="inlineStr">
        <is>
          <t>双方或者两股力量为了不服从对方而进行斗争, 面对</t>
        </is>
      </c>
      <c r="E165" s="8">
        <f>IFERROR(__xludf.DUMMYFUNCTION("GOOGLETRANSLATE(B165, ""zh"", ""vi"")"),"đối đầu")</f>
        <v/>
      </c>
      <c r="F165" s="8" t="inlineStr">
        <is>
          <t>两队在球场上激烈对抗。 // 逃避没有用，你要学会对抗困难。</t>
        </is>
      </c>
      <c r="H165" s="9">
        <f>G165=B165</f>
        <v/>
      </c>
    </row>
    <row r="166">
      <c r="A166" s="8" t="inlineStr">
        <is>
          <t>Bài 4</t>
        </is>
      </c>
      <c r="B166" s="6" t="inlineStr">
        <is>
          <t>尝试</t>
        </is>
      </c>
      <c r="C166" s="8">
        <f>pinyin(B166)</f>
        <v/>
      </c>
      <c r="D166" s="8" t="inlineStr">
        <is>
          <t>为了看结果如何而第一次去试着做某事</t>
        </is>
      </c>
      <c r="E166" s="8">
        <f>IFERROR(__xludf.DUMMYFUNCTION("GOOGLETRANSLATE(B166, ""zh"", ""vi"")"),"thử")</f>
        <v/>
      </c>
      <c r="F166" s="8" t="inlineStr">
        <is>
          <t>即使失败，你也应该勇敢尝试一次。 // 这是一个值得尝试的新方法。</t>
        </is>
      </c>
      <c r="H166" s="9">
        <f>G166=B166</f>
        <v/>
      </c>
    </row>
    <row r="167">
      <c r="A167" s="8" t="inlineStr">
        <is>
          <t>Bài 4</t>
        </is>
      </c>
      <c r="B167" s="6" t="inlineStr">
        <is>
          <t>盲目</t>
        </is>
      </c>
      <c r="C167" s="8">
        <f>pinyin(B167)</f>
        <v/>
      </c>
      <c r="D167" s="8" t="inlineStr">
        <is>
          <t>眼睛看不见，或者做事情没有目的、没有方向</t>
        </is>
      </c>
      <c r="E167" s="8" t="inlineStr">
        <is>
          <t>mù quáng</t>
        </is>
      </c>
      <c r="F167" s="8" t="inlineStr">
        <is>
          <t>不要盲目跟风，要选择适合自己的。 // 盲目投资会导致巨大的损失。</t>
        </is>
      </c>
      <c r="H167" s="9">
        <f>G167=B167</f>
        <v/>
      </c>
    </row>
    <row r="168">
      <c r="A168" s="8" t="inlineStr">
        <is>
          <t>Bài 4</t>
        </is>
      </c>
      <c r="B168" s="6" t="inlineStr">
        <is>
          <t>流氓</t>
        </is>
      </c>
      <c r="C168" s="8">
        <f>pinyin(B168)</f>
        <v/>
      </c>
      <c r="D168" s="8" t="inlineStr">
        <is>
          <t>不尊重女性，别人</t>
        </is>
      </c>
      <c r="E168" s="8" t="inlineStr">
        <is>
          <t>lưu mang</t>
        </is>
      </c>
      <c r="F168" s="8" t="inlineStr">
        <is>
          <t>在路上遇到流氓要立刻报警。 // 别跟我耍流氓。</t>
        </is>
      </c>
      <c r="H168" s="9">
        <f>G168=B168</f>
        <v/>
      </c>
    </row>
    <row r="169">
      <c r="A169" s="8" t="inlineStr">
        <is>
          <t>Bài 4</t>
        </is>
      </c>
      <c r="B169" s="6" t="inlineStr">
        <is>
          <t>扁</t>
        </is>
      </c>
      <c r="C169" s="8">
        <f>pinyin(B169)</f>
        <v/>
      </c>
      <c r="D169" s="8" t="inlineStr">
        <is>
          <t>物体被压平了</t>
        </is>
      </c>
      <c r="E169" s="8" t="inlineStr">
        <is>
          <t>dẹp, đề bẹp xuống</t>
        </is>
      </c>
      <c r="F169" s="8" t="inlineStr">
        <is>
          <t>这个纸盒已经被压扁了。 // 这种狗的鼻子长得扁扁的。</t>
        </is>
      </c>
      <c r="H169" s="9">
        <f>G169=B169</f>
        <v/>
      </c>
    </row>
    <row r="170">
      <c r="A170" s="8" t="inlineStr">
        <is>
          <t>Bài 4</t>
        </is>
      </c>
      <c r="B170" s="6" t="inlineStr">
        <is>
          <t>恰巧</t>
        </is>
      </c>
      <c r="C170" s="8">
        <f>pinyin(B170)</f>
        <v/>
      </c>
      <c r="D170" s="8" t="inlineStr">
        <is>
          <t>刚刚好，太巧了</t>
        </is>
      </c>
      <c r="E170" s="8" t="inlineStr">
        <is>
          <t>đúng lúc</t>
        </is>
      </c>
      <c r="F170" s="8" t="inlineStr">
        <is>
          <t>今天出门我恰巧碰见了高中同学。 // 我去找她时，她恰巧也正想出门。</t>
        </is>
      </c>
      <c r="H170" s="9">
        <f>G170=B170</f>
        <v/>
      </c>
    </row>
    <row r="171">
      <c r="A171" s="8" t="inlineStr">
        <is>
          <t>Bài 4</t>
        </is>
      </c>
      <c r="B171" s="6" t="inlineStr">
        <is>
          <t>夕阳</t>
        </is>
      </c>
      <c r="C171" s="8">
        <f>pinyin(B171)</f>
        <v/>
      </c>
      <c r="D171" s="8" t="inlineStr">
        <is>
          <t>傍晚快要落山时的太阳</t>
        </is>
      </c>
      <c r="E171" s="8">
        <f>IFERROR(__xludf.DUMMYFUNCTION("GOOGLETRANSLATE(B171, ""zh"", ""vi"")"),"Hoàng hôn")</f>
        <v/>
      </c>
      <c r="F171" s="8" t="inlineStr">
        <is>
          <t>夕阳红遍了半边天。 // 在夕阳下散步真是太浪漫了。</t>
        </is>
      </c>
      <c r="H171" s="9">
        <f>G171=B171</f>
        <v/>
      </c>
    </row>
    <row r="172">
      <c r="A172" s="8" t="inlineStr">
        <is>
          <t>Bài 4</t>
        </is>
      </c>
      <c r="B172" s="6" t="inlineStr">
        <is>
          <t>留神</t>
        </is>
      </c>
      <c r="C172" s="8">
        <f>pinyin(B172)</f>
        <v/>
      </c>
      <c r="D172" s="8" t="inlineStr">
        <is>
          <t>小心做错了什么</t>
        </is>
      </c>
      <c r="E172" s="8">
        <f>IFERROR(__xludf.DUMMYFUNCTION("GOOGLETRANSLATE(B172, ""zh"", ""vi"")"),"Hãy cẩn thận")</f>
        <v/>
      </c>
      <c r="F172" s="8" t="inlineStr">
        <is>
          <t>走路的时候多留神车辆。 // 一不留神就做错了。</t>
        </is>
      </c>
      <c r="H172" s="9">
        <f>G172=B172</f>
        <v/>
      </c>
    </row>
    <row r="173">
      <c r="A173" s="8" t="inlineStr">
        <is>
          <t>Bài 4</t>
        </is>
      </c>
      <c r="B173" s="6" t="inlineStr">
        <is>
          <t>打猎</t>
        </is>
      </c>
      <c r="C173" s="8">
        <f>pinyin(B173)</f>
        <v/>
      </c>
      <c r="D173" s="8" t="inlineStr">
        <is>
          <t>去山找动物来食物</t>
        </is>
      </c>
      <c r="E173" s="8">
        <f>IFERROR(__xludf.DUMMYFUNCTION("GOOGLETRANSLATE(B173, ""zh"", ""vi"")"),"săn bắn")</f>
        <v/>
      </c>
      <c r="F173" s="8" t="inlineStr">
        <is>
          <t>这个地区的居民以打猎为生。 // 打猎野生动物是违法行为。</t>
        </is>
      </c>
      <c r="H173" s="9">
        <f>G173=B173</f>
        <v/>
      </c>
    </row>
    <row r="174">
      <c r="A174" s="8" t="inlineStr">
        <is>
          <t>Bài 4</t>
        </is>
      </c>
      <c r="B174" s="6" t="inlineStr">
        <is>
          <t>摆脱</t>
        </is>
      </c>
      <c r="C174" s="8">
        <f>pinyin(B174)</f>
        <v/>
      </c>
      <c r="D174" s="8" t="inlineStr">
        <is>
          <t>努力离开不好的事， 各种困难的生活</t>
        </is>
      </c>
      <c r="E174" s="8" t="inlineStr">
        <is>
          <t>thoát khỏi</t>
        </is>
      </c>
      <c r="F174" s="8" t="inlineStr">
        <is>
          <t>他很想摆脱目前的困境。 // 后面的车怎么也摆脱不掉。</t>
        </is>
      </c>
      <c r="H174" s="9">
        <f>G174=B174</f>
        <v/>
      </c>
    </row>
    <row r="175">
      <c r="A175" s="8" t="inlineStr">
        <is>
          <t>Bài 4</t>
        </is>
      </c>
      <c r="B175" s="6" t="inlineStr">
        <is>
          <t>毫无</t>
        </is>
      </c>
      <c r="C175" s="8">
        <f>pinyin(B175)</f>
        <v/>
      </c>
      <c r="D175" s="8" t="inlineStr">
        <is>
          <t>一点点也没有，完全不存在</t>
        </is>
      </c>
      <c r="E175" s="8" t="inlineStr">
        <is>
          <t>không có gì hết</t>
        </is>
      </c>
      <c r="F175" s="8" t="inlineStr">
        <is>
          <t>他对此事毫无所知。 // 这个解释毫无意义。</t>
        </is>
      </c>
      <c r="H175" s="9">
        <f>G175=B175</f>
        <v/>
      </c>
    </row>
    <row r="176">
      <c r="A176" s="8" t="inlineStr">
        <is>
          <t>Bài 4</t>
        </is>
      </c>
      <c r="B176" s="6" t="inlineStr">
        <is>
          <t>耗费</t>
        </is>
      </c>
      <c r="C176" s="8">
        <f>pinyin(B176)</f>
        <v/>
      </c>
      <c r="D176" s="8" t="inlineStr">
        <is>
          <t>花费, 用的东西非常多</t>
        </is>
      </c>
      <c r="E176" s="8">
        <f>IFERROR(__xludf.DUMMYFUNCTION("GOOGLETRANSLATE(B176, ""zh"", ""vi"")"),"Chi tiêu")</f>
        <v/>
      </c>
      <c r="F176" s="8" t="inlineStr">
        <is>
          <t>这个项目耗费了大量的人力和物力。 // 别把时间耗费在无意义的事上。</t>
        </is>
      </c>
      <c r="H176" s="9">
        <f>G176=B176</f>
        <v/>
      </c>
    </row>
    <row r="177">
      <c r="A177" s="8" t="inlineStr">
        <is>
          <t>Bài 4</t>
        </is>
      </c>
      <c r="B177" s="6" t="inlineStr">
        <is>
          <t>不顾</t>
        </is>
      </c>
      <c r="C177" s="8">
        <f>pinyin(B177)</f>
        <v/>
      </c>
      <c r="D177" s="8" t="inlineStr">
        <is>
          <t>不听， 什么都不管</t>
        </is>
      </c>
      <c r="E177" s="8" t="inlineStr">
        <is>
          <t>bấp chấp</t>
        </is>
      </c>
      <c r="F177" s="8" t="inlineStr">
        <is>
          <t>他不顾家人的反对执意出国留学。 // 消防员不顾危险冲进火海救人。</t>
        </is>
      </c>
      <c r="H177" s="9">
        <f>G177=B177</f>
        <v/>
      </c>
    </row>
    <row r="178">
      <c r="A178" s="8" t="inlineStr">
        <is>
          <t>Bài 4</t>
        </is>
      </c>
      <c r="B178" s="6" t="inlineStr">
        <is>
          <t>挣扎</t>
        </is>
      </c>
      <c r="C178" s="8">
        <f>pinyin(B178)</f>
        <v/>
      </c>
      <c r="D178" s="8" t="inlineStr">
        <is>
          <t>用力战胜，用力地摆脱困难</t>
        </is>
      </c>
      <c r="E178" s="8" t="inlineStr">
        <is>
          <t>vùng vẫy</t>
        </is>
      </c>
      <c r="F178" s="8" t="inlineStr">
        <is>
          <t>落网的鱼正在拼命挣扎。 // 他仍在贫困中挣扎。</t>
        </is>
      </c>
      <c r="H178" s="9">
        <f>G178=B178</f>
        <v/>
      </c>
    </row>
    <row r="179">
      <c r="A179" s="8" t="inlineStr">
        <is>
          <t>Bài 4</t>
        </is>
      </c>
      <c r="B179" s="6" t="inlineStr">
        <is>
          <t>悲惨</t>
        </is>
      </c>
      <c r="C179" s="8">
        <f>pinyin(B179)</f>
        <v/>
      </c>
      <c r="D179" s="8" t="inlineStr">
        <is>
          <t>非常可怜，让人看了心里很难过</t>
        </is>
      </c>
      <c r="E179" s="8">
        <f>IFERROR(__xludf.DUMMYFUNCTION("GOOGLETRANSLATE(B179, ""zh"", ""vi"")"),"bi thảm")</f>
        <v/>
      </c>
      <c r="F179" s="8" t="inlineStr">
        <is>
          <t>他们一家的遭遇非常悲惨。 // 这场车祸造成了悲惨的后果。</t>
        </is>
      </c>
      <c r="H179" s="9">
        <f>G179=B179</f>
        <v/>
      </c>
    </row>
    <row r="180">
      <c r="A180" s="8" t="inlineStr">
        <is>
          <t>Bài 4</t>
        </is>
      </c>
      <c r="B180" s="6" t="inlineStr">
        <is>
          <t>未免</t>
        </is>
      </c>
      <c r="C180" s="8">
        <f>pinyin(B180)</f>
        <v/>
      </c>
      <c r="D180" s="8" t="inlineStr">
        <is>
          <t>有点什么了</t>
        </is>
      </c>
      <c r="E180" s="8" t="inlineStr">
        <is>
          <t>có hơi, có chút</t>
        </is>
      </c>
      <c r="F180" s="8" t="inlineStr">
        <is>
          <t>你这么说未免太过分了。 // 为了这点小事生气，未免太不值得了。</t>
        </is>
      </c>
      <c r="H180" s="9">
        <f>G180=B180</f>
        <v/>
      </c>
    </row>
    <row r="181">
      <c r="A181" s="8" t="inlineStr">
        <is>
          <t>Bài 4</t>
        </is>
      </c>
      <c r="B181" s="6" t="inlineStr">
        <is>
          <t>残忍</t>
        </is>
      </c>
      <c r="C181" s="8">
        <f>pinyin(B181)</f>
        <v/>
      </c>
      <c r="D181" s="8" t="inlineStr">
        <is>
          <t>伤害别人，感到非常难受</t>
        </is>
      </c>
      <c r="E181" s="8">
        <f>IFERROR(__xludf.DUMMYFUNCTION("GOOGLETRANSLATE(B181, ""zh"", ""vi"")"),"tàn nhẫn")</f>
        <v/>
      </c>
      <c r="F181" s="8" t="inlineStr">
        <is>
          <t>这样对待动物未免太残忍了。 // 现实总是那么残忍。</t>
        </is>
      </c>
      <c r="H181" s="9">
        <f>G181=B181</f>
        <v/>
      </c>
    </row>
    <row r="182">
      <c r="A182" s="8" t="inlineStr">
        <is>
          <t>Bài 4</t>
        </is>
      </c>
      <c r="B182" s="6" t="inlineStr">
        <is>
          <t>举世瞩目</t>
        </is>
      </c>
      <c r="C182" s="8">
        <f>pinyin(B182)</f>
        <v/>
      </c>
      <c r="D182" s="8" t="inlineStr">
        <is>
          <t>全世界的人都在看着，引起了全球的注意</t>
        </is>
      </c>
      <c r="E182" s="8" t="inlineStr">
        <is>
          <t>thu hút chủ ý</t>
        </is>
      </c>
      <c r="F182" s="8" t="inlineStr">
        <is>
          <t>这个国家的经济成就举世瞩目。 // 这是一个举世瞩目的历史性事件。</t>
        </is>
      </c>
      <c r="H182" s="9">
        <f>G182=B182</f>
        <v/>
      </c>
    </row>
    <row r="183">
      <c r="A183" s="8" t="inlineStr">
        <is>
          <t>Bài 4</t>
        </is>
      </c>
      <c r="B183" s="6" t="inlineStr">
        <is>
          <t>子弹</t>
        </is>
      </c>
      <c r="C183" s="8">
        <f>pinyin(B183)</f>
        <v/>
      </c>
      <c r="D183" s="8" t="inlineStr">
        <is>
          <t>从枪里面发射出来的铁头或金属弹</t>
        </is>
      </c>
      <c r="E183" s="8">
        <f>IFERROR(__xludf.DUMMYFUNCTION("GOOGLETRANSLATE(B183, ""zh"", ""vi"")"),"viên đạn")</f>
        <v/>
      </c>
      <c r="F183" s="8" t="inlineStr">
        <is>
          <t>警方在现场发现了几颗子弹。 // 子弹擦着他的肩膀飞了过去。</t>
        </is>
      </c>
      <c r="H183" s="9">
        <f>G183=B183</f>
        <v/>
      </c>
    </row>
    <row r="184">
      <c r="A184" s="8" t="inlineStr">
        <is>
          <t>Bài 4</t>
        </is>
      </c>
      <c r="B184" s="6" t="inlineStr">
        <is>
          <t>窜</t>
        </is>
      </c>
      <c r="C184" s="8">
        <f>pinyin(B184)</f>
        <v/>
      </c>
      <c r="D184" s="8" t="inlineStr">
        <is>
          <t>很快跑走， 混乱</t>
        </is>
      </c>
      <c r="E184" s="8" t="inlineStr">
        <is>
          <t>tháo chạy</t>
        </is>
      </c>
      <c r="F184" s="8" t="inlineStr">
        <is>
          <t>老鼠看到猫，吓得四处乱窜。 // 火苗迅速往上窜。</t>
        </is>
      </c>
      <c r="H184" s="9">
        <f>G184=B184</f>
        <v/>
      </c>
    </row>
    <row r="185">
      <c r="A185" s="8" t="inlineStr">
        <is>
          <t>Bài 4</t>
        </is>
      </c>
      <c r="B185" s="6" t="inlineStr">
        <is>
          <t>死亡</t>
        </is>
      </c>
      <c r="C185" s="8">
        <f>pinyin(B185)</f>
        <v/>
      </c>
      <c r="D185" s="8" t="inlineStr">
        <is>
          <t>生命彻底结束，不再活着</t>
        </is>
      </c>
      <c r="E185" s="8">
        <f>IFERROR(__xludf.DUMMYFUNCTION("GOOGLETRANSLATE(B185, ""zh"", ""vi"")"),"chết")</f>
        <v/>
      </c>
      <c r="F185" s="8" t="inlineStr">
        <is>
          <t>事故导致两人当场死亡。 // 我们要坦然面对死亡。</t>
        </is>
      </c>
      <c r="H185" s="9">
        <f>G185=B185</f>
        <v/>
      </c>
    </row>
    <row r="186">
      <c r="A186" s="8" t="inlineStr">
        <is>
          <t>Bài 4</t>
        </is>
      </c>
      <c r="B186" s="6" t="inlineStr">
        <is>
          <t>抵抗</t>
        </is>
      </c>
      <c r="C186" s="8">
        <f>pinyin(B186)</f>
        <v/>
      </c>
      <c r="D186" s="8" t="inlineStr">
        <is>
          <t>不被他打就行</t>
        </is>
      </c>
      <c r="E186" s="8">
        <f>IFERROR(__xludf.DUMMYFUNCTION("GOOGLETRANSLATE(B186, ""zh"", ""vi"")"),"sức chống cự")</f>
        <v/>
      </c>
      <c r="F186" s="8" t="inlineStr">
        <is>
          <t>面对强大的敌人，他们依然顽强抵抗。 // 身体的抵抗力现在很弱。</t>
        </is>
      </c>
      <c r="H186" s="9">
        <f>G186=B186</f>
        <v/>
      </c>
    </row>
    <row r="187">
      <c r="A187" s="8" t="inlineStr">
        <is>
          <t>Bài 4</t>
        </is>
      </c>
      <c r="B187" s="6" t="inlineStr">
        <is>
          <t>部位</t>
        </is>
      </c>
      <c r="C187" s="8">
        <f>pinyin(B187)</f>
        <v/>
      </c>
      <c r="D187" s="8" t="inlineStr">
        <is>
          <t>不同的地方， 圣上某个地方</t>
        </is>
      </c>
      <c r="E187" s="8">
        <f>IFERROR(__xludf.DUMMYFUNCTION("GOOGLETRANSLATE(B187, ""zh"", ""vi"")"),"Phần")</f>
        <v/>
      </c>
      <c r="F187" s="8" t="inlineStr">
        <is>
          <t>你哪个部位感觉疼痛？ // 需要仔细检查这个零件的各个部位。</t>
        </is>
      </c>
      <c r="H187" s="9">
        <f>G187=B187</f>
        <v/>
      </c>
    </row>
    <row r="188">
      <c r="A188" s="8" t="inlineStr">
        <is>
          <t>Bài 4</t>
        </is>
      </c>
      <c r="B188" s="6" t="inlineStr">
        <is>
          <t>缺口</t>
        </is>
      </c>
      <c r="C188" s="8">
        <f>pinyin(B188)</f>
        <v/>
      </c>
      <c r="D188" s="8" t="inlineStr">
        <is>
          <t>zhiwu缺掉了一块，或者计划里的漏洞</t>
        </is>
      </c>
      <c r="E188" s="8" t="inlineStr">
        <is>
          <t>lỗ hỏng</t>
        </is>
      </c>
      <c r="F188" s="8" t="inlineStr">
        <is>
          <t>这个瓷碗上有一个小缺口。 // 管理体制中还存在着不少缺口。</t>
        </is>
      </c>
      <c r="H188" s="9">
        <f>G188=B188</f>
        <v/>
      </c>
    </row>
    <row r="189">
      <c r="A189" s="8" t="inlineStr">
        <is>
          <t>Bài 4</t>
        </is>
      </c>
      <c r="B189" s="6" t="inlineStr">
        <is>
          <t>锋利</t>
        </is>
      </c>
      <c r="C189" s="8">
        <f>pinyin(B189)</f>
        <v/>
      </c>
      <c r="D189" s="8" t="inlineStr">
        <is>
          <t>刀、剑等工具非常快，或者说话非常厉害</t>
        </is>
      </c>
      <c r="E189" s="8">
        <f>IFERROR(__xludf.DUMMYFUNCTION("GOOGLETRANSLATE(B189, ""zh"", ""vi"")"),"Sắc")</f>
        <v/>
      </c>
      <c r="F189" s="8" t="inlineStr">
        <is>
          <t>这把刀很锋利，用的时候要小心。 // 记者的提问非常锋利。</t>
        </is>
      </c>
      <c r="H189" s="9">
        <f>G189=B189</f>
        <v/>
      </c>
    </row>
    <row r="190">
      <c r="A190" s="8" t="inlineStr">
        <is>
          <t>Bài 4</t>
        </is>
      </c>
      <c r="B190" s="12" t="inlineStr">
        <is>
          <t>缠绕</t>
        </is>
      </c>
      <c r="C190" s="8">
        <f>pinyin(B190)</f>
        <v/>
      </c>
      <c r="D190" s="8" t="inlineStr">
        <is>
          <t>绳子、线或者某种情绪紧紧地绕在上面</t>
        </is>
      </c>
      <c r="E190" s="8" t="inlineStr">
        <is>
          <t>bị vướng, quấn quanh</t>
        </is>
      </c>
      <c r="F190" s="8" t="inlineStr">
        <is>
          <t>藤蔓紧紧缠绕在大树上。 // 这件事一直缠绕在我的心头，让我心烦。</t>
        </is>
      </c>
      <c r="H190" s="9">
        <f>G190=B190</f>
        <v/>
      </c>
    </row>
    <row r="191">
      <c r="A191" s="8" t="inlineStr">
        <is>
          <t>Bài 4</t>
        </is>
      </c>
      <c r="B191" s="12" t="inlineStr">
        <is>
          <t>俯视</t>
        </is>
      </c>
      <c r="C191" s="8">
        <f>pinyin(B191)</f>
        <v/>
      </c>
      <c r="D191" s="8" t="inlineStr">
        <is>
          <t>从很高的地方往极低的地方看</t>
        </is>
      </c>
      <c r="E191" s="8">
        <f>IFERROR(__xludf.DUMMYFUNCTION("GOOGLETRANSLATE(B191, ""zh"", ""vi"")"),"Nhìn xuống")</f>
        <v/>
      </c>
      <c r="F191" s="8" t="inlineStr">
        <is>
          <t>站在山顶俯视，风景美如画。 // 从飞机上俯视，城市灯火辉煌。</t>
        </is>
      </c>
      <c r="H191" s="9">
        <f>G191=B191</f>
        <v/>
      </c>
    </row>
    <row r="192">
      <c r="A192" s="8" t="inlineStr">
        <is>
          <t>Bài 4</t>
        </is>
      </c>
      <c r="B192" s="12" t="inlineStr">
        <is>
          <t>草案</t>
        </is>
      </c>
      <c r="C192" s="8">
        <f>pinyin(B192)</f>
        <v/>
      </c>
      <c r="D192" s="8" t="inlineStr">
        <is>
          <t>刚开始写出来的、还没有最后定下来的计划或法律初稿</t>
        </is>
      </c>
      <c r="E192" s="8">
        <f>IFERROR(__xludf.DUMMYFUNCTION("GOOGLETRANSLATE(B192, ""zh"", ""vi"")"),"bản nháp")</f>
        <v/>
      </c>
      <c r="F192" s="8" t="inlineStr">
        <is>
          <t>这份合同草案还需要修改。 // 对公司新方案的草案进行讨论。</t>
        </is>
      </c>
      <c r="H192" s="9">
        <f>G192=B192</f>
        <v/>
      </c>
    </row>
    <row r="193">
      <c r="A193" s="8" t="inlineStr">
        <is>
          <t>Bài 4</t>
        </is>
      </c>
      <c r="B193" s="12" t="inlineStr">
        <is>
          <t>偿还</t>
        </is>
      </c>
      <c r="C193" s="8">
        <f>pinyin(B193)</f>
        <v/>
      </c>
      <c r="D193" s="8" t="inlineStr">
        <is>
          <t>把借别人的钱或者欠别人的恩情还给对方</t>
        </is>
      </c>
      <c r="E193" s="8">
        <f>IFERROR(__xludf.DUMMYFUNCTION("GOOGLETRANSLATE(B193, ""zh"", ""vi"")"),"trả lại")</f>
        <v/>
      </c>
      <c r="F193" s="8" t="inlineStr">
        <is>
          <t>他花了五年时间才偿还完这笔债务。 // 这份恩情我不知该如何偿还。</t>
        </is>
      </c>
      <c r="H193" s="9">
        <f>G193=B193</f>
        <v/>
      </c>
    </row>
    <row r="194">
      <c r="A194" s="8" t="inlineStr">
        <is>
          <t>Bài 4</t>
        </is>
      </c>
      <c r="B194" s="12" t="inlineStr">
        <is>
          <t>畅通</t>
        </is>
      </c>
      <c r="C194" s="8">
        <f>pinyin(B194)</f>
        <v/>
      </c>
      <c r="D194" s="8" t="inlineStr">
        <is>
          <t>道路、管道等非常顺畅，没有东西堵塞</t>
        </is>
      </c>
      <c r="E194" s="8">
        <f>IFERROR(__xludf.DUMMYFUNCTION("GOOGLETRANSLATE(B194, ""zh"", ""vi"")"),"Trơn tru")</f>
        <v/>
      </c>
      <c r="F194" s="8" t="inlineStr">
        <is>
          <t>高峰期过后，道路交通恢复了畅通。 // 确保公司内部信息渠道畅通。</t>
        </is>
      </c>
      <c r="H194" s="9">
        <f>G194=B194</f>
        <v/>
      </c>
    </row>
    <row r="195">
      <c r="A195" s="8" t="inlineStr">
        <is>
          <t>Bài 4</t>
        </is>
      </c>
      <c r="B195" s="12" t="inlineStr">
        <is>
          <t>敌视</t>
        </is>
      </c>
      <c r="C195" s="8">
        <f>pinyin(B195)</f>
        <v/>
      </c>
      <c r="D195" s="8" t="inlineStr">
        <is>
          <t>把对方当成敌人来看待，心里充满仇恨</t>
        </is>
      </c>
      <c r="E195" s="8">
        <f>IFERROR(__xludf.DUMMYFUNCTION("GOOGLETRANSLATE(B195, ""zh"", ""vi"")"),"sự thù địch")</f>
        <v/>
      </c>
      <c r="F195" s="8" t="inlineStr">
        <is>
          <t>我们不应该敌视持有不同意见的人。 // 他那敌视的眼神让人害怕。</t>
        </is>
      </c>
      <c r="H195" s="9">
        <f>G195=B195</f>
        <v/>
      </c>
    </row>
    <row r="196">
      <c r="A196" s="8" t="inlineStr">
        <is>
          <t>Bài 4</t>
        </is>
      </c>
      <c r="B196" s="12" t="inlineStr">
        <is>
          <t>雇佣</t>
        </is>
      </c>
      <c r="C196" s="8">
        <f>pinyin(B196)</f>
        <v/>
      </c>
      <c r="D196" s="8" t="inlineStr">
        <is>
          <t>花钱请别人来为自己工作或干活</t>
        </is>
      </c>
      <c r="E196" s="8">
        <f>IFERROR(__xludf.DUMMYFUNCTION("GOOGLETRANSLATE(B196, ""zh"", ""vi"")"),"Thuê")</f>
        <v/>
      </c>
      <c r="F196" s="8" t="inlineStr">
        <is>
          <t>公司决定雇佣外国专家担任顾问。 // 被雇佣的员工享有其合法权益。</t>
        </is>
      </c>
      <c r="H196" s="9">
        <f>G196=B196</f>
        <v/>
      </c>
    </row>
    <row r="197">
      <c r="A197" s="8" t="inlineStr">
        <is>
          <t>Bài 4</t>
        </is>
      </c>
      <c r="B197" s="12" t="inlineStr">
        <is>
          <t>巩固</t>
        </is>
      </c>
      <c r="C197" s="8">
        <f>pinyin(B197)</f>
        <v/>
      </c>
      <c r="D197" s="8" t="inlineStr">
        <is>
          <t>让原本已经做好的事情或地位变得更加稳固和坚强</t>
        </is>
      </c>
      <c r="E197" s="8">
        <f>IFERROR(__xludf.DUMMYFUNCTION("GOOGLETRANSLATE(B197, ""zh"", ""vi"")"),"Hợp nhất")</f>
        <v/>
      </c>
      <c r="F197" s="8" t="inlineStr">
        <is>
          <t>多看书可以巩固所学的知识。 // 他在公司的地位得到了进一步巩固。</t>
        </is>
      </c>
      <c r="H197" s="9">
        <f>G197=B197</f>
        <v/>
      </c>
    </row>
    <row r="198">
      <c r="A198" s="8" t="inlineStr">
        <is>
          <t>Bài 4</t>
        </is>
      </c>
      <c r="B198" s="12" t="inlineStr">
        <is>
          <t>孤立</t>
        </is>
      </c>
      <c r="C198" s="8">
        <f>pinyin(B198)</f>
        <v/>
      </c>
      <c r="D198" s="8" t="inlineStr">
        <is>
          <t>让某人或者某地跟外界断开联系，变成孤孤单单一个人</t>
        </is>
      </c>
      <c r="E198" s="8">
        <f>IFERROR(__xludf.DUMMYFUNCTION("GOOGLETRANSLATE(B198, ""zh"", ""vi"")"),"cô lập")</f>
        <v/>
      </c>
      <c r="F198" s="8" t="inlineStr">
        <is>
          <t>不要让自己被集体孤立。 // 这个岛屿孤立在大海之中。</t>
        </is>
      </c>
      <c r="H198" s="9">
        <f>G198=B198</f>
        <v/>
      </c>
    </row>
    <row r="199">
      <c r="A199" s="8" t="inlineStr">
        <is>
          <t>Bài 4</t>
        </is>
      </c>
      <c r="B199" s="12" t="inlineStr">
        <is>
          <t>解雇</t>
        </is>
      </c>
      <c r="C199" s="8">
        <f>pinyin(B199)</f>
        <v/>
      </c>
      <c r="D199" s="8" t="inlineStr">
        <is>
          <t>公司或老板开除员工，不让其继续工作</t>
        </is>
      </c>
      <c r="E199" s="8">
        <f>IFERROR(__xludf.DUMMYFUNCTION("GOOGLETRANSLATE(B199, ""zh"", ""vi"")"),"miễn nhiệm")</f>
        <v/>
      </c>
      <c r="F199" s="8" t="inlineStr">
        <is>
          <t>他因严重违反公司规定而被解雇。 // 听说公司近期准备解雇一部分员工。</t>
        </is>
      </c>
      <c r="H199" s="9">
        <f>G199=B199</f>
        <v/>
      </c>
    </row>
    <row r="200">
      <c r="A200" s="8" t="inlineStr">
        <is>
          <t>Bài 4</t>
        </is>
      </c>
      <c r="B200" s="12" t="inlineStr">
        <is>
          <t>过奖</t>
        </is>
      </c>
      <c r="C200" s="8">
        <f>pinyin(B200)</f>
        <v/>
      </c>
      <c r="D200" s="8" t="inlineStr">
        <is>
          <t>别人夸奖自己时，自己表示客气的谦虚回答</t>
        </is>
      </c>
      <c r="E200" s="8">
        <f>IFERROR(__xludf.DUMMYFUNCTION("GOOGLETRANSLATE(B200, ""zh"", ""vi"")"),"Bạn đang tâng bốc tôi đấy.")</f>
        <v/>
      </c>
      <c r="F200" s="8" t="inlineStr">
        <is>
          <t>您过奖了，我还要多向大家学习。 // 经理夸我做得好，我赶紧说“您过奖了”。</t>
        </is>
      </c>
      <c r="H200" s="9">
        <f>G200=B200</f>
        <v/>
      </c>
    </row>
    <row r="201">
      <c r="A201" s="8" t="inlineStr">
        <is>
          <t>Bài 4</t>
        </is>
      </c>
      <c r="B201" s="12" t="inlineStr">
        <is>
          <t>表态</t>
        </is>
      </c>
      <c r="C201" s="8">
        <f>pinyin(B201)</f>
        <v/>
      </c>
      <c r="D201" s="8" t="inlineStr">
        <is>
          <t>在大家面前表明自己对某件事的态度和想法</t>
        </is>
      </c>
      <c r="E201" s="8">
        <f>IFERROR(__xludf.DUMMYFUNCTION("GOOGLETRANSLATE(B201, ""zh"", ""vi"")"),"Tuyên bố")</f>
        <v/>
      </c>
      <c r="F201" s="8" t="inlineStr">
        <is>
          <t>关于这个问题，他至今还没有表态。 // 需要听取相关各方如何表态。</t>
        </is>
      </c>
      <c r="H201" s="9">
        <f>G201=B201</f>
        <v/>
      </c>
    </row>
    <row r="202">
      <c r="A202" s="8" t="inlineStr">
        <is>
          <t>Bài 4</t>
        </is>
      </c>
      <c r="B202" s="12" t="inlineStr">
        <is>
          <t>捍卫</t>
        </is>
      </c>
      <c r="C202" s="8">
        <f>pinyin(B202)</f>
        <v/>
      </c>
      <c r="D202" s="8" t="inlineStr">
        <is>
          <t>用尽全力去保护主权、利益或权利不受侵犯</t>
        </is>
      </c>
      <c r="E202" s="8">
        <f>IFERROR(__xludf.DUMMYFUNCTION("GOOGLETRANSLATE(B202, ""zh"", ""vi"")"),"phòng vệ")</f>
        <v/>
      </c>
      <c r="F202" s="8" t="inlineStr">
        <is>
          <t>我们要坚决捍卫国家利益。 // 律师全力捍卫当事人的合法权益。</t>
        </is>
      </c>
      <c r="H202" s="9">
        <f>G202=B202</f>
        <v/>
      </c>
    </row>
    <row r="203">
      <c r="A203" s="8" t="inlineStr">
        <is>
          <t>bài 5</t>
        </is>
      </c>
      <c r="B203" s="6" t="inlineStr">
        <is>
          <t>迫不及待</t>
        </is>
      </c>
      <c r="C203" s="8">
        <f>pinyin(B203)</f>
        <v/>
      </c>
      <c r="D203" s="8" t="inlineStr">
        <is>
          <t>急得等不了，特别想马上做某事。</t>
        </is>
      </c>
      <c r="E203" s="8">
        <f>IFERROR(__xludf.DUMMYFUNCTION("GOOGLETRANSLATE(B203, ""zh"", ""vi"")"),"Tôi rất mong chờ")</f>
        <v/>
      </c>
      <c r="F203" s="8" t="inlineStr">
        <is>
          <t>我迫不及待地打开了礼物。//孩子们迫不及待地跑出去玩儿。</t>
        </is>
      </c>
      <c r="H203" s="9">
        <f>G203=B203</f>
        <v/>
      </c>
    </row>
    <row r="204">
      <c r="A204" s="8" t="inlineStr">
        <is>
          <t>bài 5</t>
        </is>
      </c>
      <c r="B204" s="6" t="inlineStr">
        <is>
          <t>依靠</t>
        </is>
      </c>
      <c r="C204" s="8">
        <f>pinyin(B204)</f>
        <v/>
      </c>
      <c r="D204" s="8" t="inlineStr">
        <is>
          <t>靠别人或某种力量帮助自己。</t>
        </is>
      </c>
      <c r="E204" s="8">
        <f>IFERROR(__xludf.DUMMYFUNCTION("GOOGLETRANSLATE(B204, ""zh"", ""vi"")"),"dựa vào")</f>
        <v/>
      </c>
      <c r="F204" s="8" t="inlineStr">
        <is>
          <t>我们不能总是依靠父母。</t>
        </is>
      </c>
      <c r="H204" s="9">
        <f>G204=B204</f>
        <v/>
      </c>
    </row>
    <row r="205">
      <c r="A205" s="8" t="inlineStr">
        <is>
          <t>bài 5</t>
        </is>
      </c>
      <c r="B205" s="6" t="inlineStr">
        <is>
          <t>借助</t>
        </is>
      </c>
      <c r="C205" s="8">
        <f>pinyin(B205)</f>
        <v/>
      </c>
      <c r="D205" s="8" t="inlineStr">
        <is>
          <t>借什么做什么</t>
        </is>
      </c>
      <c r="E205" s="8">
        <f>IFERROR(__xludf.DUMMYFUNCTION("GOOGLETRANSLATE(B205, ""zh"", ""vi"")"),"Với sự giúp đỡ của")</f>
        <v/>
      </c>
      <c r="F205" s="8" t="inlineStr">
        <is>
          <t>我们借助地图找到了酒店。//鸟儿借助空气飞翔。</t>
        </is>
      </c>
      <c r="H205" s="9">
        <f>G205=B205</f>
        <v/>
      </c>
    </row>
    <row r="206">
      <c r="A206" s="8" t="inlineStr">
        <is>
          <t>bài 5</t>
        </is>
      </c>
      <c r="B206" s="6" t="inlineStr">
        <is>
          <t>勉强</t>
        </is>
      </c>
      <c r="C206" s="8">
        <f>pinyin(B206)</f>
        <v/>
      </c>
      <c r="D206" s="8" t="inlineStr">
        <is>
          <t>能力不够，但还能做到。// 不想做 --- 温柔一点</t>
        </is>
      </c>
      <c r="E206" s="8">
        <f>IFERROR(__xludf.DUMMYFUNCTION("GOOGLETRANSLATE(B206, ""zh"", ""vi"")"),"miễn cưỡng")</f>
        <v/>
      </c>
      <c r="F206" s="8" t="inlineStr">
        <is>
          <t>我只能勉强听懂一点儿。//他勉强完成了任务。</t>
        </is>
      </c>
      <c r="H206" s="9">
        <f>G206=B206</f>
        <v/>
      </c>
    </row>
    <row r="207">
      <c r="A207" s="8" t="inlineStr">
        <is>
          <t>bài 5</t>
        </is>
      </c>
      <c r="B207" s="6" t="inlineStr">
        <is>
          <t>机构</t>
        </is>
      </c>
      <c r="C207" s="8">
        <f>pinyin(B207)</f>
        <v/>
      </c>
      <c r="D207" s="8" t="inlineStr">
        <is>
          <t>专门做某种事情的组织。</t>
        </is>
      </c>
      <c r="E207" s="8" t="inlineStr">
        <is>
          <t>dơn vị, cơ quan</t>
        </is>
      </c>
      <c r="F207" s="8" t="inlineStr">
        <is>
          <t>这是一家教育机构。//那个机构很有名。</t>
        </is>
      </c>
      <c r="H207" s="9">
        <f>G207=B207</f>
        <v/>
      </c>
    </row>
    <row r="208">
      <c r="A208" s="8" t="inlineStr">
        <is>
          <t>bài 5</t>
        </is>
      </c>
      <c r="B208" s="6" t="inlineStr">
        <is>
          <t>随意</t>
        </is>
      </c>
      <c r="C208" s="8">
        <f>pinyin(B208)</f>
        <v/>
      </c>
      <c r="D208" s="8" t="inlineStr">
        <is>
          <t>想做什么就做什么， 不要害怕太多</t>
        </is>
      </c>
      <c r="E208" s="8" t="inlineStr">
        <is>
          <t>tùy ý</t>
        </is>
      </c>
      <c r="F208" s="8" t="inlineStr">
        <is>
          <t>你可以随意看看。//他说话太随意了。</t>
        </is>
      </c>
      <c r="H208" s="9">
        <f>G208=B208</f>
        <v/>
      </c>
    </row>
    <row r="209">
      <c r="A209" s="8" t="inlineStr">
        <is>
          <t>bài 5</t>
        </is>
      </c>
      <c r="B209" s="6" t="inlineStr">
        <is>
          <t>而已</t>
        </is>
      </c>
      <c r="C209" s="8">
        <f>pinyin(B209)</f>
        <v/>
      </c>
      <c r="D209" s="8" t="inlineStr">
        <is>
          <t>只是这样，没有别的意思。</t>
        </is>
      </c>
      <c r="E209" s="8" t="inlineStr">
        <is>
          <t>viì gì mà như vậy thôi</t>
        </is>
      </c>
      <c r="F209" s="8" t="inlineStr">
        <is>
          <t>我只是开玩笑而已。//学习外语对我来说是一种兴趣而已。</t>
        </is>
      </c>
      <c r="H209" s="9">
        <f>G209=B209</f>
        <v/>
      </c>
    </row>
    <row r="210">
      <c r="A210" s="8" t="inlineStr">
        <is>
          <t>bài 5</t>
        </is>
      </c>
      <c r="B210" s="6" t="inlineStr">
        <is>
          <t>栋</t>
        </is>
      </c>
      <c r="C210" s="8">
        <f>pinyin(B210)</f>
        <v/>
      </c>
      <c r="D210" s="8" t="inlineStr">
        <is>
          <t>用于楼、房子等建筑物的量词。</t>
        </is>
      </c>
      <c r="E210" s="8" t="inlineStr">
        <is>
          <t>tòa (nhà)</t>
        </is>
      </c>
      <c r="F210" s="8" t="inlineStr">
        <is>
          <t>那栋楼特别高。//他们住在一栋居民楼里。</t>
        </is>
      </c>
      <c r="H210" s="9">
        <f>G210=B210</f>
        <v/>
      </c>
    </row>
    <row r="211">
      <c r="A211" s="8" t="inlineStr">
        <is>
          <t>bài 5</t>
        </is>
      </c>
      <c r="B211" s="6" t="inlineStr">
        <is>
          <t xml:space="preserve">兴致勃勃   
</t>
        </is>
      </c>
      <c r="C211" s="8">
        <f>pinyin(B211)</f>
        <v/>
      </c>
      <c r="D211" s="8" t="inlineStr">
        <is>
          <t>特别兴趣，精神。</t>
        </is>
      </c>
      <c r="E211" s="8" t="inlineStr">
        <is>
          <t>vô cùng hào hứng</t>
        </is>
      </c>
      <c r="F211" s="8" t="inlineStr">
        <is>
          <t>大家兴致勃勃地讨论旅行计划。//孩子们兴致勃勃地做游戏。</t>
        </is>
      </c>
      <c r="H211" s="9">
        <f>G211=B211</f>
        <v/>
      </c>
    </row>
    <row r="212">
      <c r="A212" s="8" t="inlineStr">
        <is>
          <t>bài 5</t>
        </is>
      </c>
      <c r="B212" s="6" t="inlineStr">
        <is>
          <t>专程</t>
        </is>
      </c>
      <c r="C212" s="8">
        <f>pinyin(B212)</f>
        <v/>
      </c>
      <c r="D212" s="8" t="inlineStr">
        <is>
          <t>为了某件事特地去一趟。</t>
        </is>
      </c>
      <c r="E212" s="8">
        <f>IFERROR(__xludf.DUMMYFUNCTION("GOOGLETRANSLATE(B212, ""zh"", ""vi"")"),"Chuyến đi đặc biệt")</f>
        <v/>
      </c>
      <c r="F212" s="8" t="inlineStr">
        <is>
          <t>他专程来看望老师。//我专程来向你道谢。</t>
        </is>
      </c>
      <c r="H212" s="9">
        <f>G212=B212</f>
        <v/>
      </c>
    </row>
    <row r="213">
      <c r="A213" s="8" t="inlineStr">
        <is>
          <t>bài 5</t>
        </is>
      </c>
      <c r="B213" s="6" t="inlineStr">
        <is>
          <t>修养</t>
        </is>
      </c>
      <c r="C213" s="8">
        <f>pinyin(B213)</f>
        <v/>
      </c>
      <c r="D213" s="8" t="inlineStr">
        <is>
          <t>一个人的文化、礼貌和内在素质。</t>
        </is>
      </c>
      <c r="E213" s="8" t="inlineStr">
        <is>
          <t>có giáo dưỡng, giáo dục</t>
        </is>
      </c>
      <c r="F213" s="8" t="inlineStr">
        <is>
          <t>她很有修养。//一个人的修养很重要。</t>
        </is>
      </c>
      <c r="H213" s="9">
        <f>G213=B213</f>
        <v/>
      </c>
    </row>
    <row r="214">
      <c r="A214" s="8" t="inlineStr">
        <is>
          <t>bài 5</t>
        </is>
      </c>
      <c r="B214" s="6" t="inlineStr">
        <is>
          <t>接连</t>
        </is>
      </c>
      <c r="C214" s="8">
        <f>pinyin(B214)</f>
        <v/>
      </c>
      <c r="D214" s="8" t="inlineStr">
        <is>
          <t>一件事一件事发生</t>
        </is>
      </c>
      <c r="E214" s="8">
        <f>IFERROR(__xludf.DUMMYFUNCTION("GOOGLETRANSLATE(B214, ""zh"", ""vi"")"),"liên tiếp")</f>
        <v/>
      </c>
      <c r="F214" s="8" t="inlineStr">
        <is>
          <t>问题接连出现。//他接连打了几个电话。</t>
        </is>
      </c>
      <c r="H214" s="9">
        <f>G214=B214</f>
        <v/>
      </c>
    </row>
    <row r="215">
      <c r="A215" s="8" t="inlineStr">
        <is>
          <t>bài 5</t>
        </is>
      </c>
      <c r="B215" s="6" t="inlineStr">
        <is>
          <t>动力</t>
        </is>
      </c>
      <c r="C215" s="8">
        <f>pinyin(B215)</f>
        <v/>
      </c>
      <c r="D215" s="8" t="inlineStr">
        <is>
          <t>推动人做事情的力量。</t>
        </is>
      </c>
      <c r="E215" s="8" t="inlineStr">
        <is>
          <t>đoộng lực</t>
        </is>
      </c>
      <c r="F215" s="8" t="inlineStr">
        <is>
          <t>目标能给人动力。//他失去了学习动力。</t>
        </is>
      </c>
      <c r="H215" s="9">
        <f>G215=B215</f>
        <v/>
      </c>
    </row>
    <row r="216">
      <c r="A216" s="8" t="inlineStr">
        <is>
          <t>bài 5</t>
        </is>
      </c>
      <c r="B216" s="6" t="inlineStr">
        <is>
          <t>固然</t>
        </is>
      </c>
      <c r="C216" s="8">
        <f>pinyin(B216)</f>
        <v/>
      </c>
      <c r="D216" s="8" t="inlineStr">
        <is>
          <t>承认一种情况，但后面常有另外的意思。</t>
        </is>
      </c>
      <c r="E216" s="8" t="inlineStr">
        <is>
          <t>tất nhiên, dĩ nhiên</t>
        </is>
      </c>
      <c r="F216" s="8" t="inlineStr">
        <is>
          <t>兴趣固然重要，但坚持更重要。//这个办法固然好，可成本太高。</t>
        </is>
      </c>
      <c r="H216" s="9">
        <f>G216=B216</f>
        <v/>
      </c>
    </row>
    <row r="217">
      <c r="A217" s="8" t="inlineStr">
        <is>
          <t>bài 5</t>
        </is>
      </c>
      <c r="B217" s="6" t="inlineStr">
        <is>
          <t>火药</t>
        </is>
      </c>
      <c r="C217" s="8">
        <f>pinyin(B217)</f>
        <v/>
      </c>
      <c r="D217" s="8" t="inlineStr">
        <is>
          <t>用爆炸的东西伤害人</t>
        </is>
      </c>
      <c r="E217" s="8">
        <f>IFERROR(__xludf.DUMMYFUNCTION("GOOGLETRANSLATE(B217, ""zh"", ""vi"")"),"thuốc súng")</f>
        <v/>
      </c>
      <c r="F217" s="8" t="inlineStr">
        <is>
          <t>火药是中国古代四大发明之一。//这种材料像火药一样危险。</t>
        </is>
      </c>
      <c r="H217" s="9">
        <f>G217=B217</f>
        <v/>
      </c>
    </row>
    <row r="218">
      <c r="A218" s="8" t="inlineStr">
        <is>
          <t>bài 5</t>
        </is>
      </c>
      <c r="B218" s="6" t="inlineStr">
        <is>
          <t>忍耐</t>
        </is>
      </c>
      <c r="C218" s="8">
        <f>pinyin(B218)</f>
        <v/>
      </c>
      <c r="D218" s="8" t="inlineStr">
        <is>
          <t>很痛苦但控制情绪，不标线出来</t>
        </is>
      </c>
      <c r="E218" s="8">
        <f>IFERROR(__xludf.DUMMYFUNCTION("GOOGLETRANSLATE(B218, ""zh"", ""vi"")"),"chịu đựng")</f>
        <v/>
      </c>
      <c r="F218" s="8" t="inlineStr">
        <is>
          <t>她极力忍耐着疼痛。//面对误解，他选择忍耐。</t>
        </is>
      </c>
      <c r="H218" s="9">
        <f>G218=B218</f>
        <v/>
      </c>
    </row>
    <row r="219">
      <c r="A219" s="8" t="inlineStr">
        <is>
          <t>bài 5</t>
        </is>
      </c>
      <c r="B219" s="6" t="inlineStr">
        <is>
          <t>着想</t>
        </is>
      </c>
      <c r="C219" s="8">
        <f>pinyin(B219)</f>
        <v/>
      </c>
      <c r="D219" s="8" t="inlineStr">
        <is>
          <t>想一想为了别人</t>
        </is>
      </c>
      <c r="E219" s="8" t="inlineStr">
        <is>
          <t>lo nghĩ, lo cho ai</t>
        </is>
      </c>
      <c r="F219" s="8" t="inlineStr">
        <is>
          <t>父母总是为孩子着想。//我们要多为别人着想。</t>
        </is>
      </c>
      <c r="H219" s="9">
        <f>G219=B219</f>
        <v/>
      </c>
    </row>
    <row r="220">
      <c r="A220" s="8" t="inlineStr">
        <is>
          <t>bài 5</t>
        </is>
      </c>
      <c r="B220" s="6" t="inlineStr">
        <is>
          <t>策划</t>
        </is>
      </c>
      <c r="C220" s="8">
        <f>pinyin(B220)</f>
        <v/>
      </c>
      <c r="D220" s="8" t="inlineStr">
        <is>
          <t>更重要，更认识, 更仔细的事</t>
        </is>
      </c>
      <c r="E220" s="8" t="inlineStr">
        <is>
          <t>phương án, kế hoạch chuẩn bị</t>
        </is>
      </c>
      <c r="F220" s="8" t="inlineStr">
        <is>
          <t>他们正在策划一次活动。//公司提前策划了方案。</t>
        </is>
      </c>
      <c r="H220" s="9">
        <f>G220=B220</f>
        <v/>
      </c>
    </row>
    <row r="221">
      <c r="A221" s="8" t="inlineStr">
        <is>
          <t>bài 5</t>
        </is>
      </c>
      <c r="B221" s="13" t="inlineStr">
        <is>
          <t>涉及</t>
        </is>
      </c>
      <c r="C221" s="8">
        <f>pinyin(B221)</f>
        <v/>
      </c>
      <c r="D221" s="8" t="inlineStr">
        <is>
          <t>关系到、包括什么什么。</t>
        </is>
      </c>
      <c r="E221" s="8">
        <f>IFERROR(__xludf.DUMMYFUNCTION("GOOGLETRANSLATE(B221, ""zh"", ""vi"")"),"Liên quan đến")</f>
        <v/>
      </c>
      <c r="F221" s="8" t="inlineStr">
        <is>
          <t>这个问题涉及很多方面。//他说的话涉及我的隐私。</t>
        </is>
      </c>
      <c r="H221" s="9">
        <f>G221=B221</f>
        <v/>
      </c>
    </row>
    <row r="222">
      <c r="A222" s="8" t="inlineStr">
        <is>
          <t>bài 5</t>
        </is>
      </c>
      <c r="B222" s="6" t="inlineStr">
        <is>
          <t>隐私</t>
        </is>
      </c>
      <c r="C222" s="8">
        <f>pinyin(B222)</f>
        <v/>
      </c>
      <c r="D222" s="8" t="inlineStr">
        <is>
          <t>不想让别人知道的个人事情。</t>
        </is>
      </c>
      <c r="E222" s="8">
        <f>IFERROR(__xludf.DUMMYFUNCTION("GOOGLETRANSLATE(B222, ""zh"", ""vi"")"),"sự riêng tư")</f>
        <v/>
      </c>
      <c r="F222" s="8" t="inlineStr">
        <is>
          <t>每个人都有自己的隐私。//请尊重别人的隐私。</t>
        </is>
      </c>
      <c r="H222" s="9">
        <f>G222=B222</f>
        <v/>
      </c>
    </row>
    <row r="223">
      <c r="A223" s="8" t="inlineStr">
        <is>
          <t>bài 5</t>
        </is>
      </c>
      <c r="B223" s="6" t="inlineStr">
        <is>
          <t>反感</t>
        </is>
      </c>
      <c r="C223" s="8">
        <f>pinyin(B223)</f>
        <v/>
      </c>
      <c r="D223" s="8" t="inlineStr">
        <is>
          <t>让人不喜欢，心里讨厌。</t>
        </is>
      </c>
      <c r="E223" s="8">
        <f>IFERROR(__xludf.DUMMYFUNCTION("GOOGLETRANSLATE(B223, ""zh"", ""vi"")"),"Không thích")</f>
        <v/>
      </c>
      <c r="F223" s="8" t="inlineStr">
        <is>
          <t>我对这种态度很反感。//他的话让我感到反感。</t>
        </is>
      </c>
      <c r="H223" s="9">
        <f>G223=B223</f>
        <v/>
      </c>
    </row>
    <row r="224">
      <c r="A224" s="8" t="inlineStr">
        <is>
          <t>bài 5</t>
        </is>
      </c>
      <c r="B224" s="6" t="inlineStr">
        <is>
          <t>达成</t>
        </is>
      </c>
      <c r="C224" s="8">
        <f>pinyin(B224)</f>
        <v/>
      </c>
      <c r="D224" s="8" t="inlineStr">
        <is>
          <t>经过努力以后实现。tajiatigongnuli</t>
        </is>
      </c>
      <c r="E224" s="8">
        <f>IFERROR(__xludf.DUMMYFUNCTION("GOOGLETRANSLATE(B224, ""zh"", ""vi"")"),"Đạt được")</f>
        <v/>
      </c>
      <c r="F224" s="8" t="inlineStr">
        <is>
          <t>双方终于达成协议。//我们努力达成目标。</t>
        </is>
      </c>
      <c r="H224" s="9">
        <f>G224=B224</f>
        <v/>
      </c>
    </row>
    <row r="225">
      <c r="A225" s="8" t="inlineStr">
        <is>
          <t>bài 5</t>
        </is>
      </c>
      <c r="B225" s="6" t="inlineStr">
        <is>
          <t>口气</t>
        </is>
      </c>
      <c r="C225" s="8">
        <f>pinyin(B225)</f>
        <v/>
      </c>
      <c r="D225" s="8" t="inlineStr">
        <is>
          <t>说话时表现出来的态度和感觉。</t>
        </is>
      </c>
      <c r="E225" s="8" t="inlineStr">
        <is>
          <t>giọng điệu</t>
        </is>
      </c>
      <c r="F225" s="8" t="inlineStr">
        <is>
          <t>他说话的口气很温和。//我不喜欢他的口气。</t>
        </is>
      </c>
      <c r="H225" s="9">
        <f>G225=B225</f>
        <v/>
      </c>
    </row>
    <row r="226">
      <c r="A226" s="8" t="inlineStr">
        <is>
          <t>bài 5</t>
        </is>
      </c>
      <c r="B226" s="6" t="inlineStr">
        <is>
          <t>缓和</t>
        </is>
      </c>
      <c r="C226" s="8">
        <f>pinyin(B226)</f>
        <v/>
      </c>
      <c r="D226" s="8" t="inlineStr">
        <is>
          <t>从紧张、激烈变得轻松、平和。</t>
        </is>
      </c>
      <c r="E226" s="8" t="inlineStr">
        <is>
          <t>dịu đi</t>
        </is>
      </c>
      <c r="F226" s="8" t="inlineStr">
        <is>
          <t>气氛慢慢缓和下来。//双方努力缓和关系。</t>
        </is>
      </c>
      <c r="H226" s="9">
        <f>G226=B226</f>
        <v/>
      </c>
    </row>
    <row r="227">
      <c r="A227" s="8" t="inlineStr">
        <is>
          <t>bài 5</t>
        </is>
      </c>
      <c r="B227" s="6" t="inlineStr">
        <is>
          <t>设置</t>
        </is>
      </c>
      <c r="C227" s="8">
        <f>pinyin(B227)</f>
        <v/>
      </c>
      <c r="D227" s="8" t="inlineStr">
        <is>
          <t>安排、建立、放置。</t>
        </is>
      </c>
      <c r="E227" s="8" t="inlineStr">
        <is>
          <t>thiết lập, thiết kế</t>
        </is>
      </c>
      <c r="F227" s="8" t="inlineStr">
        <is>
          <t>学校设置了奖学金。//请先设置密码。</t>
        </is>
      </c>
      <c r="H227" s="9">
        <f>G227=B227</f>
        <v/>
      </c>
    </row>
    <row r="228">
      <c r="A228" s="8" t="inlineStr">
        <is>
          <t>bài 5</t>
        </is>
      </c>
      <c r="B228" s="6" t="inlineStr">
        <is>
          <t>执行</t>
        </is>
      </c>
      <c r="C228" s="8">
        <f>pinyin(B228)</f>
        <v/>
      </c>
      <c r="D228" s="8" t="inlineStr">
        <is>
          <t>按照要求去做。</t>
        </is>
      </c>
      <c r="E228" s="8">
        <f>IFERROR(__xludf.DUMMYFUNCTION("GOOGLETRANSLATE(B228, ""zh"", ""vi"")"),"thực hiện")</f>
        <v/>
      </c>
      <c r="F228" s="8" t="inlineStr">
        <is>
          <t>我们必须执行计划。//他认真执行任务。</t>
        </is>
      </c>
      <c r="H228" s="9">
        <f>G228=B228</f>
        <v/>
      </c>
    </row>
    <row r="229">
      <c r="A229" s="8" t="inlineStr">
        <is>
          <t>bài 5</t>
        </is>
      </c>
      <c r="B229" s="6" t="inlineStr">
        <is>
          <t>持久</t>
        </is>
      </c>
      <c r="C229" s="8">
        <f>pinyin(B229)</f>
        <v/>
      </c>
      <c r="D229" s="8" t="inlineStr">
        <is>
          <t>能保持很长时间。</t>
        </is>
      </c>
      <c r="E229" s="8">
        <f>IFERROR(__xludf.DUMMYFUNCTION("GOOGLETRANSLATE(B229, ""zh"", ""vi"")"),"lâu dài")</f>
        <v/>
      </c>
      <c r="F229" s="8" t="inlineStr">
        <is>
          <t>这种关系很难持久。//成功需要持久努力。</t>
        </is>
      </c>
      <c r="H229" s="9">
        <f>G229=B229</f>
        <v/>
      </c>
    </row>
    <row r="230">
      <c r="A230" s="8" t="inlineStr">
        <is>
          <t>bài 5</t>
        </is>
      </c>
      <c r="B230" s="6" t="inlineStr">
        <is>
          <t>啥</t>
        </is>
      </c>
      <c r="C230" s="8">
        <f>pinyin(B230)</f>
        <v/>
      </c>
      <c r="D230" s="8" t="inlineStr">
        <is>
          <t>什么（口语）。</t>
        </is>
      </c>
      <c r="E230" s="8">
        <f>IFERROR(__xludf.DUMMYFUNCTION("GOOGLETRANSLATE(B230, ""zh"", ""vi"")"),"Cái gì")</f>
        <v/>
      </c>
      <c r="F230" s="8" t="inlineStr">
        <is>
          <t>你在说啥呢？//这到底是啥东西？</t>
        </is>
      </c>
      <c r="H230" s="9">
        <f>G230=B230</f>
        <v/>
      </c>
    </row>
    <row r="231">
      <c r="A231" s="8" t="inlineStr">
        <is>
          <t>bài 5</t>
        </is>
      </c>
      <c r="B231" s="6" t="inlineStr">
        <is>
          <t>果断</t>
        </is>
      </c>
      <c r="C231" s="8">
        <f>pinyin(B231)</f>
        <v/>
      </c>
      <c r="D231" s="8" t="inlineStr">
        <is>
          <t>做决定快，不犹豫。</t>
        </is>
      </c>
      <c r="E231" s="8">
        <f>IFERROR(__xludf.DUMMYFUNCTION("GOOGLETRANSLATE(B231, ""zh"", ""vi"")"),"quyết định")</f>
        <v/>
      </c>
      <c r="F231" s="8" t="inlineStr">
        <is>
          <t>她做事一向很果断。//他果断地拒绝了邀请。</t>
        </is>
      </c>
      <c r="H231" s="9">
        <f>G231=B231</f>
        <v/>
      </c>
    </row>
    <row r="232">
      <c r="A232" s="8" t="inlineStr">
        <is>
          <t>bài 5</t>
        </is>
      </c>
      <c r="B232" s="6" t="inlineStr">
        <is>
          <t>思维</t>
        </is>
      </c>
      <c r="C232" s="8">
        <f>pinyin(B232)</f>
        <v/>
      </c>
      <c r="D232" s="8" t="inlineStr">
        <is>
          <t>思考问题的方法和过程。</t>
        </is>
      </c>
      <c r="E232" s="8">
        <f>IFERROR(__xludf.DUMMYFUNCTION("GOOGLETRANSLATE(B232, ""zh"", ""vi"")"),"suy nghĩ")</f>
        <v/>
      </c>
      <c r="F232" s="8" t="inlineStr">
        <is>
          <t>每个人的思维方式不同。//这种问题需要创新思维。</t>
        </is>
      </c>
      <c r="H232" s="9">
        <f>G232=B232</f>
        <v/>
      </c>
    </row>
    <row r="233">
      <c r="A233" s="8" t="inlineStr">
        <is>
          <t>bài 5</t>
        </is>
      </c>
      <c r="B233" s="13" t="inlineStr">
        <is>
          <t xml:space="preserve">斩钉截铁  
</t>
        </is>
      </c>
      <c r="C233" s="8">
        <f>pinyin(B233)</f>
        <v/>
      </c>
      <c r="D233" s="8" t="inlineStr">
        <is>
          <t>说话做事非常坚定，不犹豫。</t>
        </is>
      </c>
      <c r="E233" s="8">
        <f>IFERROR(__xludf.DUMMYFUNCTION("GOOGLETRANSLATE(B233, ""zh"", ""vi"")"),"Quyết đoán và kiên định.")</f>
        <v/>
      </c>
      <c r="F233" s="8" t="inlineStr">
        <is>
          <t>他斩钉截铁地拒绝了。//老师斩钉截铁地表示反对。</t>
        </is>
      </c>
      <c r="H233" s="9">
        <f>G233=B233</f>
        <v/>
      </c>
    </row>
    <row r="234">
      <c r="A234" s="8" t="inlineStr">
        <is>
          <t>bài 5</t>
        </is>
      </c>
      <c r="B234" s="6" t="inlineStr">
        <is>
          <t>崩溃</t>
        </is>
      </c>
      <c r="C234" s="8">
        <f>pinyin(B234)</f>
        <v/>
      </c>
      <c r="D234" s="8" t="inlineStr">
        <is>
          <t>原来正常的状态完全坏掉，心理或系统失去控制。</t>
        </is>
      </c>
      <c r="E234" s="8">
        <f>IFERROR(__xludf.DUMMYFUNCTION("GOOGLETRANSLATE(B234, ""zh"", ""vi"")"),"sụp đổ")</f>
        <v/>
      </c>
      <c r="F234" s="8" t="inlineStr">
        <is>
          <t>听到消息后，她几乎崩溃了。//连续加班让我精神崩溃。</t>
        </is>
      </c>
      <c r="H234" s="9">
        <f>G234=B234</f>
        <v/>
      </c>
    </row>
    <row r="235">
      <c r="A235" s="8" t="inlineStr">
        <is>
          <t>bài 5</t>
        </is>
      </c>
      <c r="B235" s="13" t="inlineStr">
        <is>
          <t>搭</t>
        </is>
      </c>
      <c r="C235" s="8">
        <f>pinyin(B235)</f>
        <v/>
      </c>
      <c r="D235" s="8" t="inlineStr">
        <is>
          <t>配合、放在一起合适。</t>
        </is>
      </c>
      <c r="E235" s="8" t="inlineStr">
        <is>
          <t>khớp, phù hợp</t>
        </is>
      </c>
      <c r="F235" s="8" t="inlineStr">
        <is>
          <t>这条围巾和你的衣服很搭。//红色和黑色很搭。</t>
        </is>
      </c>
      <c r="H235" s="9">
        <f>G235=B235</f>
        <v/>
      </c>
    </row>
    <row r="236">
      <c r="A236" s="8" t="inlineStr">
        <is>
          <t>bài 5</t>
        </is>
      </c>
      <c r="B236" s="6" t="inlineStr">
        <is>
          <t>知音</t>
        </is>
      </c>
      <c r="C236" s="8">
        <f>pinyin(B236)</f>
        <v/>
      </c>
      <c r="D236" s="8" t="inlineStr">
        <is>
          <t>真正理解自己的人。</t>
        </is>
      </c>
      <c r="E236" s="8">
        <f>IFERROR(__xludf.DUMMYFUNCTION("GOOGLETRANSLATE(B236, ""zh"", ""vi"")"),"Tri kỷ")</f>
        <v/>
      </c>
      <c r="F236" s="8" t="inlineStr">
        <is>
          <t>终于遇到了真正的知音。//他把老师当成知音。</t>
        </is>
      </c>
      <c r="H236" s="9">
        <f>G236=B236</f>
        <v/>
      </c>
    </row>
    <row r="237">
      <c r="A237" s="8" t="inlineStr">
        <is>
          <t>bài 5</t>
        </is>
      </c>
      <c r="B237" s="6" t="inlineStr">
        <is>
          <t>无非</t>
        </is>
      </c>
      <c r="C237" s="8">
        <f>pinyin(B237)</f>
        <v/>
      </c>
      <c r="D237" s="8" t="inlineStr">
        <is>
          <t>只是，不过，不超过这个范围。</t>
        </is>
      </c>
      <c r="E237" s="8" t="inlineStr">
        <is>
          <t>chẳng qua là</t>
        </is>
      </c>
      <c r="F237" s="8" t="inlineStr">
        <is>
          <t>他无非是想得到认可。//学习语言无非是为了交流。</t>
        </is>
      </c>
      <c r="H237" s="9">
        <f>G237=B237</f>
        <v/>
      </c>
    </row>
    <row r="238">
      <c r="A238" s="8" t="inlineStr">
        <is>
          <t>bài 5</t>
        </is>
      </c>
      <c r="B238" s="6" t="inlineStr">
        <is>
          <t>客户</t>
        </is>
      </c>
      <c r="C238" s="8">
        <f>pinyin(B238)</f>
        <v/>
      </c>
      <c r="D238" s="8" t="inlineStr">
        <is>
          <t>接受服务或买东西的人。</t>
        </is>
      </c>
      <c r="E238" s="8">
        <f>IFERROR(__xludf.DUMMYFUNCTION("GOOGLETRANSLATE(B238, ""zh"", ""vi"")"),"khách hàng")</f>
        <v/>
      </c>
      <c r="F238" s="8" t="inlineStr">
        <is>
          <t>这个客户很重要。//我们需要了解客户需求。</t>
        </is>
      </c>
      <c r="H238" s="9">
        <f>G238=B238</f>
        <v/>
      </c>
    </row>
    <row r="239">
      <c r="A239" s="8" t="inlineStr">
        <is>
          <t>bài 5</t>
        </is>
      </c>
      <c r="B239" s="13" t="inlineStr">
        <is>
          <t>恳切</t>
        </is>
      </c>
      <c r="C239" s="8">
        <f>pinyin(B239)</f>
        <v/>
      </c>
      <c r="D239" s="8" t="inlineStr">
        <is>
          <t>真诚而认真。</t>
        </is>
      </c>
      <c r="E239" s="8">
        <f>IFERROR(__xludf.DUMMYFUNCTION("GOOGLETRANSLATE(B239, ""zh"", ""vi"")"),"chân thành")</f>
        <v/>
      </c>
      <c r="F239" s="8" t="inlineStr">
        <is>
          <t>她的态度十分恳切。//他恳切地请求帮助。</t>
        </is>
      </c>
      <c r="H239" s="9">
        <f>G239=B239</f>
        <v/>
      </c>
    </row>
    <row r="240">
      <c r="A240" s="8" t="inlineStr">
        <is>
          <t>bài 5</t>
        </is>
      </c>
      <c r="B240" s="6" t="inlineStr">
        <is>
          <t>薪水</t>
        </is>
      </c>
      <c r="C240" s="8">
        <f>pinyin(B240)</f>
        <v/>
      </c>
      <c r="D240" s="8" t="inlineStr">
        <is>
          <t>工作得到的钱。</t>
        </is>
      </c>
      <c r="E240" s="8">
        <f>IFERROR(__xludf.DUMMYFUNCTION("GOOGLETRANSLATE(B240, ""zh"", ""vi"")"),"lương")</f>
        <v/>
      </c>
      <c r="F240" s="8" t="inlineStr">
        <is>
          <t>他的薪水提高了。//这份工作的薪水不错。</t>
        </is>
      </c>
      <c r="H240" s="9">
        <f>G240=B240</f>
        <v/>
      </c>
    </row>
    <row r="241">
      <c r="A241" s="8" t="inlineStr">
        <is>
          <t>bài 5</t>
        </is>
      </c>
      <c r="B241" s="6" t="inlineStr">
        <is>
          <t>拼命</t>
        </is>
      </c>
      <c r="C241" s="8">
        <f>pinyin(B241)</f>
        <v/>
      </c>
      <c r="D241" s="8" t="inlineStr">
        <is>
          <t>用很大的力气，不怕辛苦。</t>
        </is>
      </c>
      <c r="E241" s="8" t="inlineStr">
        <is>
          <t>dốc hết sức</t>
        </is>
      </c>
      <c r="F241" s="8" t="inlineStr">
        <is>
          <t>他拼命工作赚钱。//考试前大家都拼命复习。</t>
        </is>
      </c>
      <c r="H241" s="9">
        <f>G241=B241</f>
        <v/>
      </c>
    </row>
    <row r="242">
      <c r="A242" s="8" t="inlineStr">
        <is>
          <t>bài 5</t>
        </is>
      </c>
      <c r="B242" s="6" t="inlineStr">
        <is>
          <t>搁</t>
        </is>
      </c>
      <c r="C242" s="8">
        <f>pinyin(B242)</f>
        <v/>
      </c>
      <c r="D242" s="8" t="inlineStr">
        <is>
          <t>放、放在某个地方；也可指暂时不做。</t>
        </is>
      </c>
      <c r="E242" s="8" t="inlineStr">
        <is>
          <t>gác lại, đặt</t>
        </is>
      </c>
      <c r="F242" s="8" t="inlineStr">
        <is>
          <t>他把钥匙搁在桌上。//这件事先搁一边吧。</t>
        </is>
      </c>
      <c r="H242" s="9">
        <f>G242=B242</f>
        <v/>
      </c>
    </row>
    <row r="243">
      <c r="A243" s="8" t="inlineStr">
        <is>
          <t>bài 5</t>
        </is>
      </c>
      <c r="B243" s="6" t="inlineStr">
        <is>
          <t>弊端</t>
        </is>
      </c>
      <c r="C243" s="8">
        <f>pinyin(B243)</f>
        <v/>
      </c>
      <c r="D243" s="8" t="inlineStr">
        <is>
          <t>不好的地方，缺点。</t>
        </is>
      </c>
      <c r="E243" s="8" t="inlineStr">
        <is>
          <t>tai hại, hạn chế</t>
        </is>
      </c>
      <c r="F243" s="8" t="inlineStr">
        <is>
          <t>这个制度有不少弊端。//计划的弊端逐渐显现。</t>
        </is>
      </c>
      <c r="H243" s="9">
        <f>G243=B243</f>
        <v/>
      </c>
    </row>
    <row r="244">
      <c r="A244" s="8" t="inlineStr">
        <is>
          <t>bài 5</t>
        </is>
      </c>
      <c r="B244" s="13" t="inlineStr">
        <is>
          <t>颠倒</t>
        </is>
      </c>
      <c r="C244" s="8">
        <f>pinyin(B244)</f>
        <v/>
      </c>
      <c r="D244" s="8" t="inlineStr">
        <is>
          <t>前后、上下或顺序弄反。</t>
        </is>
      </c>
      <c r="E244" s="8">
        <f>IFERROR(__xludf.DUMMYFUNCTION("GOOGLETRANSLATE(B244, ""zh"", ""vi"")"),"đảo ngược")</f>
        <v/>
      </c>
      <c r="F244" s="8" t="inlineStr">
        <is>
          <t>他说话前后颠倒。//别把顺序颠倒了。</t>
        </is>
      </c>
      <c r="H244" s="9">
        <f>G244=B244</f>
        <v/>
      </c>
    </row>
    <row r="245">
      <c r="A245" s="8" t="inlineStr">
        <is>
          <t>bài 5</t>
        </is>
      </c>
      <c r="B245" s="6" t="inlineStr">
        <is>
          <t>权衡</t>
        </is>
      </c>
      <c r="C245" s="8">
        <f>pinyin(B245)</f>
        <v/>
      </c>
      <c r="D245" s="8" t="inlineStr">
        <is>
          <t>比较不同方面后再决定。</t>
        </is>
      </c>
      <c r="E245" s="8">
        <f>IFERROR(__xludf.DUMMYFUNCTION("GOOGLETRANSLATE(B245, ""zh"", ""vi"")"),"sự đánh đổi")</f>
        <v/>
      </c>
      <c r="F245" s="8" t="inlineStr">
        <is>
          <t>做决定前要权衡利弊。//他权衡之后选择放弃。</t>
        </is>
      </c>
      <c r="H245" s="9">
        <f>G245=B245</f>
        <v/>
      </c>
    </row>
    <row r="246">
      <c r="A246" s="8" t="inlineStr">
        <is>
          <t>bài 5</t>
        </is>
      </c>
      <c r="B246" s="6" t="inlineStr">
        <is>
          <t>津津有味</t>
        </is>
      </c>
      <c r="C246" s="8">
        <f>pinyin(B246)</f>
        <v/>
      </c>
      <c r="D246" s="8" t="inlineStr">
        <is>
          <t>非常有兴趣，觉得很有味道。</t>
        </is>
      </c>
      <c r="E246" s="8">
        <f>IFERROR(__xludf.DUMMYFUNCTION("GOOGLETRANSLATE(B246, ""zh"", ""vi"")"),"Thưởng thức")</f>
        <v/>
      </c>
      <c r="F246" s="8" t="inlineStr">
        <is>
          <t>这本小说我看得津津有味。//孩子们听故事听得津津有味。</t>
        </is>
      </c>
      <c r="H246" s="9">
        <f>G246=B246</f>
        <v/>
      </c>
    </row>
    <row r="247">
      <c r="A247" s="8" t="inlineStr">
        <is>
          <t>bài 5</t>
        </is>
      </c>
      <c r="B247" s="6" t="inlineStr">
        <is>
          <t>欢天喜地</t>
        </is>
      </c>
      <c r="C247" s="8">
        <f>pinyin(B247)</f>
        <v/>
      </c>
      <c r="D247" s="8" t="inlineStr">
        <is>
          <t>非常高兴。</t>
        </is>
      </c>
      <c r="E247" s="8">
        <f>IFERROR(__xludf.DUMMYFUNCTION("GOOGLETRANSLATE(B247, ""zh"", ""vi"")"),"vô cùng vui mừng")</f>
        <v/>
      </c>
      <c r="F247" s="8" t="inlineStr">
        <is>
          <t>大家欢天喜地地庆祝。//孩子们欢天喜地地回家了。</t>
        </is>
      </c>
      <c r="H247" s="9">
        <f>G247=B247</f>
        <v/>
      </c>
    </row>
    <row r="248">
      <c r="A248" s="8" t="inlineStr">
        <is>
          <t>bài 5</t>
        </is>
      </c>
      <c r="B248" s="6" t="inlineStr">
        <is>
          <t>火药味十足</t>
        </is>
      </c>
      <c r="C248" s="8">
        <f>pinyin(B248)</f>
        <v/>
      </c>
      <c r="D248" s="8" t="inlineStr">
        <is>
          <t>气氛或说话方式很紧张，像快要吵架。</t>
        </is>
      </c>
      <c r="E248" s="8">
        <f>IFERROR(__xludf.DUMMYFUNCTION("GOOGLETRANSLATE(B248, ""zh"", ""vi"")"),"Đầy mùi thuốc súng.")</f>
        <v/>
      </c>
      <c r="F248" s="8" t="inlineStr">
        <is>
          <t>他们谈话时火药味十足。//会议现场火药味十足。</t>
        </is>
      </c>
      <c r="H248" s="9">
        <f>G248=B248</f>
        <v/>
      </c>
    </row>
    <row r="249" ht="24" customHeight="1" s="24">
      <c r="A249" s="8" t="inlineStr">
        <is>
          <t>bài 5</t>
        </is>
      </c>
      <c r="B249" s="6" t="inlineStr">
        <is>
          <t>不留死角</t>
        </is>
      </c>
      <c r="C249" s="8">
        <f>pinyin(B249)</f>
        <v/>
      </c>
      <c r="D249" s="8" t="inlineStr">
        <is>
          <t>没有遗漏，每个地方都照顾到。</t>
        </is>
      </c>
      <c r="E249" s="8">
        <f>IFERROR(__xludf.DUMMYFUNCTION("GOOGLETRANSLATE(B249, ""zh"", ""vi"")"),"Không có điểm mù")</f>
        <v/>
      </c>
      <c r="F249" s="8" t="inlineStr">
        <is>
          <t>老师讲课不留死角。//检查时要做到不留死角。</t>
        </is>
      </c>
      <c r="H249" s="9">
        <f>G249=B249</f>
        <v/>
      </c>
    </row>
    <row r="250">
      <c r="A250" s="8" t="inlineStr">
        <is>
          <t>bài 5</t>
        </is>
      </c>
      <c r="B250" s="6" t="inlineStr">
        <is>
          <t>死角</t>
        </is>
      </c>
      <c r="C250" s="8">
        <f>pinyin(B250)</f>
        <v/>
      </c>
      <c r="D250" s="8" t="inlineStr">
        <is>
          <t>看不到或注意不到的地方。</t>
        </is>
      </c>
      <c r="E250" s="8">
        <f>IFERROR(__xludf.DUMMYFUNCTION("GOOGLETRANSLATE(B250, ""zh"", ""vi"")"),"điểm mù")</f>
        <v/>
      </c>
      <c r="F250" s="8" t="inlineStr">
        <is>
          <t>这里是监控死角。//别忽视问题的死角。</t>
        </is>
      </c>
      <c r="H250" s="9">
        <f>G250=B250</f>
        <v/>
      </c>
    </row>
    <row r="251">
      <c r="A251" s="8" t="inlineStr">
        <is>
          <t>bài 6</t>
        </is>
      </c>
      <c r="B251" s="6" t="inlineStr">
        <is>
          <t>上任</t>
        </is>
      </c>
      <c r="C251" s="8">
        <f>pinyin(B251)</f>
        <v/>
      </c>
      <c r="D251" s="8" t="inlineStr">
        <is>
          <t>开始担任新职位</t>
        </is>
      </c>
      <c r="E251" s="8">
        <f>IFERROR(__xludf.DUMMYFUNCTION("GOOGLETRANSLATE(B251, ""zh"", ""vi"")"),"Nhậm chức")</f>
        <v/>
      </c>
      <c r="F251" s="8" t="inlineStr">
        <is>
          <t>他下个月正式上任了，大家都很期待他的表现 // 新经理刚上任就开始调整部门结构</t>
        </is>
      </c>
      <c r="H251" s="9">
        <f>G251=B251</f>
        <v/>
      </c>
    </row>
    <row r="252">
      <c r="A252" s="8" t="inlineStr">
        <is>
          <t>bài 6</t>
        </is>
      </c>
      <c r="B252" s="6" t="inlineStr">
        <is>
          <t>职位</t>
        </is>
      </c>
      <c r="C252" s="8">
        <f>pinyin(B252)</f>
        <v/>
      </c>
      <c r="D252" s="8" t="inlineStr">
        <is>
          <t>工作中的位置</t>
        </is>
      </c>
      <c r="E252" s="8">
        <f>IFERROR(__xludf.DUMMYFUNCTION("GOOGLETRANSLATE(B252, ""zh"", ""vi"")"),"Chức vụ")</f>
        <v/>
      </c>
      <c r="F252" s="8" t="inlineStr">
        <is>
          <t>这个职位竞争非常激烈，很多人都想得到 // 她为了这个职位准备了整整半年</t>
        </is>
      </c>
      <c r="H252" s="9">
        <f>G252=B252</f>
        <v/>
      </c>
    </row>
    <row r="253">
      <c r="A253" s="8" t="inlineStr">
        <is>
          <t>bài 6</t>
        </is>
      </c>
      <c r="B253" s="6" t="inlineStr">
        <is>
          <t>资深</t>
        </is>
      </c>
      <c r="C253" s="8">
        <f>pinyin(B253)</f>
        <v/>
      </c>
      <c r="D253" s="8" t="inlineStr">
        <is>
          <t>经验很多</t>
        </is>
      </c>
      <c r="E253" s="8" t="inlineStr">
        <is>
          <t>thâm niên</t>
        </is>
      </c>
      <c r="F253" s="8" t="inlineStr">
        <is>
          <t>他在这个行业干了二十多年，是个资深专家 // 遇到问题时，大家都喜欢请教资深员工</t>
        </is>
      </c>
      <c r="H253" s="9">
        <f>G253=B253</f>
        <v/>
      </c>
    </row>
    <row r="254">
      <c r="A254" s="8" t="inlineStr">
        <is>
          <t>bài 6</t>
        </is>
      </c>
      <c r="B254" s="6" t="inlineStr">
        <is>
          <t>就职</t>
        </is>
      </c>
      <c r="C254" s="8">
        <f>pinyin(B254)</f>
        <v/>
      </c>
      <c r="D254" s="8" t="inlineStr">
        <is>
          <t>正式开始工作</t>
        </is>
      </c>
      <c r="E254" s="8" t="inlineStr">
        <is>
          <t>nhận chức</t>
        </is>
      </c>
      <c r="F254" s="8" t="inlineStr">
        <is>
          <t>毕业以后，他顺利就职于一家外企 // 新校长下周正式就职</t>
        </is>
      </c>
      <c r="H254" s="9">
        <f>G254=B254</f>
        <v/>
      </c>
    </row>
    <row r="255">
      <c r="A255" s="8" t="inlineStr">
        <is>
          <t>bài 6</t>
        </is>
      </c>
      <c r="B255" s="6" t="inlineStr">
        <is>
          <t>搭档</t>
        </is>
      </c>
      <c r="C255" s="8">
        <f>pinyin(B255)</f>
        <v/>
      </c>
      <c r="D255" s="8" t="inlineStr">
        <is>
          <t>一起合作的人</t>
        </is>
      </c>
      <c r="E255" s="8">
        <f>IFERROR(__xludf.DUMMYFUNCTION("GOOGLETRANSLATE(B255, ""zh"", ""vi"")"),"cộng sự")</f>
        <v/>
      </c>
      <c r="F255" s="8" t="inlineStr">
        <is>
          <t>我们合作很多年了，早就是默契十足的搭档 // 有个靠谱的搭档，工作会轻松很多</t>
        </is>
      </c>
      <c r="H255" s="9">
        <f>G255=B255</f>
        <v/>
      </c>
    </row>
    <row r="256">
      <c r="A256" s="8" t="inlineStr">
        <is>
          <t>bài 6</t>
        </is>
      </c>
      <c r="B256" s="6" t="inlineStr">
        <is>
          <t>唯独</t>
        </is>
      </c>
      <c r="C256" s="8">
        <f>pinyin(B256)</f>
        <v/>
      </c>
      <c r="D256" s="8" t="inlineStr">
        <is>
          <t>只有；只是 =》 人/事</t>
        </is>
      </c>
      <c r="E256" s="8">
        <f>IFERROR(__xludf.DUMMYFUNCTION("GOOGLETRANSLATE(B256, ""zh"", ""vi"")"),"Chỉ một")</f>
        <v/>
      </c>
      <c r="F256" s="8" t="inlineStr">
        <is>
          <t>大家都通过了考试，唯独他差了两分 // 我什么都喜欢吃，唯独不爱吃香菜</t>
        </is>
      </c>
      <c r="H256" s="9">
        <f>G256=B256</f>
        <v/>
      </c>
    </row>
    <row r="257">
      <c r="A257" s="8" t="inlineStr">
        <is>
          <t>bài 6</t>
        </is>
      </c>
      <c r="B257" s="6" t="inlineStr">
        <is>
          <t>创立</t>
        </is>
      </c>
      <c r="C257" s="8">
        <f>pinyin(B257)</f>
        <v/>
      </c>
      <c r="D257" s="8" t="inlineStr">
        <is>
          <t>建立新东西</t>
        </is>
      </c>
      <c r="E257" s="8">
        <f>IFERROR(__xludf.DUMMYFUNCTION("GOOGLETRANSLATE(B257, ""zh"", ""vi"")"),"Thành lập")</f>
        <v/>
      </c>
      <c r="F257" s="8" t="inlineStr">
        <is>
          <t>大学毕业后，他创立了自己的公司 // 这家学校是一百年前创立的</t>
        </is>
      </c>
      <c r="H257" s="9">
        <f>G257=B257</f>
        <v/>
      </c>
    </row>
    <row r="258">
      <c r="A258" s="8" t="inlineStr">
        <is>
          <t>bài 6</t>
        </is>
      </c>
      <c r="B258" s="6" t="inlineStr">
        <is>
          <t>沏</t>
        </is>
      </c>
      <c r="C258" s="8">
        <f>pinyin(B258)</f>
        <v/>
      </c>
      <c r="D258" s="8" t="inlineStr">
        <is>
          <t>用热水泡茶</t>
        </is>
      </c>
      <c r="E258" s="8" t="inlineStr">
        <is>
          <t>pha (trà, cf)</t>
        </is>
      </c>
      <c r="F258" s="8" t="inlineStr">
        <is>
          <t>天气冷了，我给你沏杯热茶吧 // 奶奶每天早上都会沏一壶茶</t>
        </is>
      </c>
      <c r="H258" s="9">
        <f>G258=B258</f>
        <v/>
      </c>
    </row>
    <row r="259">
      <c r="A259" s="8" t="inlineStr">
        <is>
          <t>bài 6</t>
        </is>
      </c>
      <c r="B259" s="6" t="inlineStr">
        <is>
          <t>边缘</t>
        </is>
      </c>
      <c r="C259" s="8">
        <f>pinyin(B259)</f>
        <v/>
      </c>
      <c r="D259" s="8" t="inlineStr">
        <is>
          <t>最外面或不重要的位置</t>
        </is>
      </c>
      <c r="E259" s="8">
        <f>IFERROR(__xludf.DUMMYFUNCTION("GOOGLETRANSLATE(B259, ""zh"", ""vi"")"),"bờ rìa")</f>
        <v/>
      </c>
      <c r="F259" s="8" t="inlineStr">
        <is>
          <t>他坐在会场边缘，默默听大家发言 // 长期不参加活动的人容易被边缘化</t>
        </is>
      </c>
      <c r="H259" s="9">
        <f>G259=B259</f>
        <v/>
      </c>
    </row>
    <row r="260">
      <c r="A260" s="8" t="inlineStr">
        <is>
          <t>bài 6</t>
        </is>
      </c>
      <c r="B260" s="6" t="inlineStr">
        <is>
          <t>眼色</t>
        </is>
      </c>
      <c r="C260" s="8">
        <f>pinyin(B260)</f>
        <v/>
      </c>
      <c r="D260" s="8" t="inlineStr">
        <is>
          <t>用眼神表达意思</t>
        </is>
      </c>
      <c r="E260" s="8">
        <f>IFERROR(__xludf.DUMMYFUNCTION("GOOGLETRANSLATE(B260, ""zh"", ""vi"")"),"giao tiếp bằng mắt")</f>
        <v/>
      </c>
      <c r="F260" s="8" t="inlineStr">
        <is>
          <t>老板说话的时候，他一直偷偷给我使眼色 // 在职场上，有时候要学会看眼色</t>
        </is>
      </c>
      <c r="H260" s="9">
        <f>G260=B260</f>
        <v/>
      </c>
    </row>
    <row r="261">
      <c r="A261" s="8" t="inlineStr">
        <is>
          <t>bài 6</t>
        </is>
      </c>
      <c r="B261" s="6" t="inlineStr">
        <is>
          <t>不像话</t>
        </is>
      </c>
      <c r="C261" s="8">
        <f>pinyin(B261)</f>
        <v/>
      </c>
      <c r="D261" s="8" t="inlineStr">
        <is>
          <t>不合理让人不高兴</t>
        </is>
      </c>
      <c r="E261" s="8">
        <f>IFERROR(__xludf.DUMMYFUNCTION("GOOGLETRANSLATE(B261, ""zh"", ""vi"")"),"quá đáng")</f>
        <v/>
      </c>
      <c r="F261" s="8" t="inlineStr">
        <is>
          <t>你这样跟长辈说话太不像话了 // 明明是自己错了，还怪别人，真不像话</t>
        </is>
      </c>
      <c r="H261" s="9">
        <f>G261=B261</f>
        <v/>
      </c>
    </row>
    <row r="262">
      <c r="A262" s="8" t="inlineStr">
        <is>
          <t>bài 6</t>
        </is>
      </c>
      <c r="B262" s="6" t="inlineStr">
        <is>
          <t>风气</t>
        </is>
      </c>
      <c r="C262" s="8">
        <f>pinyin(B262)</f>
        <v/>
      </c>
      <c r="D262" s="8" t="inlineStr">
        <is>
          <t>周围空气</t>
        </is>
      </c>
      <c r="E262" s="8">
        <f>IFERROR(__xludf.DUMMYFUNCTION("GOOGLETRANSLATE(B262, ""zh"", ""vi"")"),"bầu không khí")</f>
        <v/>
      </c>
      <c r="F262" s="8" t="inlineStr">
        <is>
          <t>以前这里学习风气特别好 // 不良风气会影响年轻人的成长</t>
        </is>
      </c>
      <c r="H262" s="9">
        <f>G262=B262</f>
        <v/>
      </c>
    </row>
    <row r="263">
      <c r="A263" s="8" t="inlineStr">
        <is>
          <t>bài 6</t>
        </is>
      </c>
      <c r="B263" s="6" t="inlineStr">
        <is>
          <t>明明</t>
        </is>
      </c>
      <c r="C263" s="8">
        <f>pinyin(B263)</f>
        <v/>
      </c>
      <c r="D263" s="8" t="inlineStr">
        <is>
          <t>很明显， 事实</t>
        </is>
      </c>
      <c r="E263" s="8" t="inlineStr">
        <is>
          <t>rõ ràng</t>
        </is>
      </c>
      <c r="F263" s="8" t="inlineStr">
        <is>
          <t>明明是你答应的，怎么现在又反悔了 // 他明明知道答案，却故意不说</t>
        </is>
      </c>
      <c r="H263" s="9">
        <f>G263=B263</f>
        <v/>
      </c>
    </row>
    <row r="264">
      <c r="A264" s="8" t="inlineStr">
        <is>
          <t>bài 6</t>
        </is>
      </c>
      <c r="B264" s="6" t="inlineStr">
        <is>
          <t>欺负</t>
        </is>
      </c>
      <c r="C264" s="8">
        <f>pinyin(B264)</f>
        <v/>
      </c>
      <c r="D264" s="8" t="inlineStr">
        <is>
          <t>压别人、让别人受伤害</t>
        </is>
      </c>
      <c r="E264" s="8">
        <f>IFERROR(__xludf.DUMMYFUNCTION("GOOGLETRANSLATE(B264, ""zh"", ""vi"")"),"Bắt nạt")</f>
        <v/>
      </c>
      <c r="F264" s="8" t="inlineStr">
        <is>
          <t>小时候他经常被同学欺负 // 别因为别人老实就欺负人家</t>
        </is>
      </c>
      <c r="H264" s="9">
        <f>G264=B264</f>
        <v/>
      </c>
    </row>
    <row r="265">
      <c r="A265" s="8" t="inlineStr">
        <is>
          <t>bài 6</t>
        </is>
      </c>
      <c r="B265" s="6" t="inlineStr">
        <is>
          <t>指标</t>
        </is>
      </c>
      <c r="C265" s="8">
        <f>pinyin(B265)</f>
        <v/>
      </c>
      <c r="D265" s="8" t="inlineStr">
        <is>
          <t>衡量的标准</t>
        </is>
      </c>
      <c r="E265" s="8" t="inlineStr">
        <is>
          <t>chỉ tiêu</t>
        </is>
      </c>
      <c r="F265" s="8" t="inlineStr">
        <is>
          <t>为了完成销售指标，大家最近都在加班 // 他提前一个月完成了全年指标</t>
        </is>
      </c>
      <c r="H265" s="9">
        <f>G265=B265</f>
        <v/>
      </c>
    </row>
    <row r="266">
      <c r="A266" s="8" t="inlineStr">
        <is>
          <t>bài 6</t>
        </is>
      </c>
      <c r="B266" s="6" t="inlineStr">
        <is>
          <t>成天</t>
        </is>
      </c>
      <c r="C266" s="8">
        <f>pinyin(B266)</f>
        <v/>
      </c>
      <c r="D266" s="8" t="inlineStr">
        <is>
          <t>一整天, 说的人不满意</t>
        </is>
      </c>
      <c r="E266" s="8">
        <f>IFERROR(__xludf.DUMMYFUNCTION("GOOGLETRANSLATE(B266, ""zh"", ""vi"")"),"Cả ngày")</f>
        <v/>
      </c>
      <c r="F266" s="8" t="inlineStr">
        <is>
          <t>他成天躺在家里打游戏 // 妈妈成天忙工作，很少休息</t>
        </is>
      </c>
      <c r="H266" s="9">
        <f>G266=B266</f>
        <v/>
      </c>
    </row>
    <row r="267">
      <c r="A267" s="8" t="inlineStr">
        <is>
          <t>bài 6</t>
        </is>
      </c>
      <c r="B267" s="6" t="inlineStr">
        <is>
          <t>吹牛</t>
        </is>
      </c>
      <c r="C267" s="8">
        <f>pinyin(B267)</f>
        <v/>
      </c>
      <c r="D267" s="8" t="inlineStr">
        <is>
          <t>说假话，想让别人羡慕</t>
        </is>
      </c>
      <c r="E267" s="8">
        <f>IFERROR(__xludf.DUMMYFUNCTION("GOOGLETRANSLATE(B267, ""zh"", ""vi"")"),"khoe khoan")</f>
        <v/>
      </c>
      <c r="F267" s="8" t="inlineStr">
        <is>
          <t>他说自己认识很多明星，我觉得他在吹牛 // 别听他吹牛，其实没那么厉害</t>
        </is>
      </c>
      <c r="H267" s="9">
        <f>G267=B267</f>
        <v/>
      </c>
    </row>
    <row r="268">
      <c r="A268" s="8" t="inlineStr">
        <is>
          <t>bài 6</t>
        </is>
      </c>
      <c r="B268" s="6" t="inlineStr">
        <is>
          <t>溜</t>
        </is>
      </c>
      <c r="C268" s="8">
        <f>pinyin(B268)</f>
        <v/>
      </c>
      <c r="D268" s="8" t="inlineStr">
        <is>
          <t>偷偷离开， 悄悄地跑走</t>
        </is>
      </c>
      <c r="E268" s="8" t="inlineStr">
        <is>
          <t>chuồn đi</t>
        </is>
      </c>
      <c r="F268" s="8" t="inlineStr">
        <is>
          <t>老师刚离开教室，他就偷偷溜出去了 // 小猫趁门开着溜进了房间</t>
        </is>
      </c>
      <c r="H268" s="9">
        <f>G268=B268</f>
        <v/>
      </c>
    </row>
    <row r="269">
      <c r="A269" s="8" t="inlineStr">
        <is>
          <t>bài 6</t>
        </is>
      </c>
      <c r="B269" s="6" t="inlineStr">
        <is>
          <t>等级</t>
        </is>
      </c>
      <c r="C269" s="8">
        <f>pinyin(B269)</f>
        <v/>
      </c>
      <c r="D269" s="8" t="inlineStr">
        <is>
          <t>高低层次</t>
        </is>
      </c>
      <c r="E269" s="8">
        <f>IFERROR(__xludf.DUMMYFUNCTION("GOOGLETRANSLATE(B269, ""zh"", ""vi"")"),"cấp")</f>
        <v/>
      </c>
      <c r="F269" s="8" t="inlineStr">
        <is>
          <t>公司等级分得很清楚 // 不同等级享受不同待遇</t>
        </is>
      </c>
      <c r="H269" s="9">
        <f>G269=B269</f>
        <v/>
      </c>
    </row>
    <row r="270">
      <c r="A270" s="8" t="inlineStr">
        <is>
          <t>bài 6</t>
        </is>
      </c>
      <c r="B270" s="6" t="inlineStr">
        <is>
          <t>公道</t>
        </is>
      </c>
      <c r="C270" s="8">
        <f>pinyin(B270)</f>
        <v/>
      </c>
      <c r="D270" s="8" t="inlineStr">
        <is>
          <t>公平，合理</t>
        </is>
      </c>
      <c r="E270" s="8">
        <f>IFERROR(__xludf.DUMMYFUNCTION("GOOGLETRANSLATE(B270, ""zh"", ""vi"")"),"công lý")</f>
        <v/>
      </c>
      <c r="F270" s="8" t="inlineStr">
        <is>
          <t>大家都觉得这样的处理方式很公道 // 老板做事一向公道</t>
        </is>
      </c>
      <c r="H270" s="9">
        <f>G270=B270</f>
        <v/>
      </c>
    </row>
    <row r="271">
      <c r="A271" s="8" t="inlineStr">
        <is>
          <t>bài 6</t>
        </is>
      </c>
      <c r="B271" s="6" t="inlineStr">
        <is>
          <t>哼</t>
        </is>
      </c>
      <c r="C271" s="8">
        <f>pinyin(B271)</f>
        <v/>
      </c>
      <c r="D271" s="8" t="inlineStr">
        <is>
          <t>表示不满的声音</t>
        </is>
      </c>
      <c r="E271" s="8">
        <f>IFERROR(__xludf.DUMMYFUNCTION("GOOGLETRANSLATE(B271, ""zh"", ""vi"")"),"khịt mũi")</f>
        <v/>
      </c>
      <c r="F271" s="8" t="inlineStr">
        <is>
          <t>哼，我才不相信你的话呢 // 她哼了一声，转身离开了</t>
        </is>
      </c>
      <c r="H271" s="9">
        <f>G271=B271</f>
        <v/>
      </c>
    </row>
    <row r="272">
      <c r="A272" s="8" t="inlineStr">
        <is>
          <t>bài 6</t>
        </is>
      </c>
      <c r="B272" s="6" t="inlineStr">
        <is>
          <t>大不了</t>
        </is>
      </c>
      <c r="C272" s="8">
        <f>pinyin(B272)</f>
        <v/>
      </c>
      <c r="D272" s="8" t="inlineStr">
        <is>
          <t>最坏也不过如此</t>
        </is>
      </c>
      <c r="E272" s="8">
        <f>IFERROR(__xludf.DUMMYFUNCTION("GOOGLETRANSLATE(B272, ""zh"", ""vi"")"),"Tệ nhất là")</f>
        <v/>
      </c>
      <c r="F272" s="8" t="inlineStr">
        <is>
          <t>大不了重头再来，没什么可怕的 // 大不了我自己一个人去</t>
        </is>
      </c>
      <c r="H272" s="9">
        <f>G272=B272</f>
        <v/>
      </c>
    </row>
    <row r="273">
      <c r="A273" s="8" t="inlineStr">
        <is>
          <t>bài 6</t>
        </is>
      </c>
      <c r="B273" s="6" t="inlineStr">
        <is>
          <t>展示</t>
        </is>
      </c>
      <c r="C273" s="8">
        <f>pinyin(B273)</f>
        <v/>
      </c>
      <c r="D273" s="8" t="inlineStr">
        <is>
          <t>给别人看自己的想</t>
        </is>
      </c>
      <c r="E273" s="8" t="inlineStr">
        <is>
          <t>thể hiện</t>
        </is>
      </c>
      <c r="F273" s="8" t="inlineStr">
        <is>
          <t>她在会上展示了自己的设计作品 // 博物馆正在展示珍贵文物</t>
        </is>
      </c>
      <c r="H273" s="9">
        <f>G273=B273</f>
        <v/>
      </c>
    </row>
    <row r="274">
      <c r="A274" s="8" t="inlineStr">
        <is>
          <t>bài 6</t>
        </is>
      </c>
      <c r="B274" s="6" t="inlineStr">
        <is>
          <t>才干</t>
        </is>
      </c>
      <c r="C274" s="8">
        <f>pinyin(B274)</f>
        <v/>
      </c>
      <c r="D274" s="8" t="inlineStr">
        <is>
          <t>做事能力</t>
        </is>
      </c>
      <c r="E274" s="8">
        <f>IFERROR(__xludf.DUMMYFUNCTION("GOOGLETRANSLATE(B274, ""zh"", ""vi"")"),"năng lực")</f>
        <v/>
      </c>
      <c r="F274" s="8" t="inlineStr">
        <is>
          <t>他很有领导才干，大家都服他 // 她终于有机会发挥自己的才干</t>
        </is>
      </c>
      <c r="H274" s="9">
        <f>G274=B274</f>
        <v/>
      </c>
    </row>
    <row r="275">
      <c r="A275" s="8" t="inlineStr">
        <is>
          <t>bài 6</t>
        </is>
      </c>
      <c r="B275" s="6" t="inlineStr">
        <is>
          <t>计较</t>
        </is>
      </c>
      <c r="C275" s="8">
        <f>pinyin(B275)</f>
        <v/>
      </c>
      <c r="D275" s="8" t="inlineStr">
        <is>
          <t>太在意小事一点也跟别人比较</t>
        </is>
      </c>
      <c r="E275" s="8">
        <f>IFERROR(__xludf.DUMMYFUNCTION("GOOGLETRANSLATE(B275, ""zh"", ""vi"")"),"So sánh")</f>
        <v/>
      </c>
      <c r="F275" s="8" t="inlineStr">
        <is>
          <t>朋友之间没必要太计较 // 他连这么点小事都要计较</t>
        </is>
      </c>
      <c r="H275" s="9">
        <f>G275=B275</f>
        <v/>
      </c>
    </row>
    <row r="276">
      <c r="A276" s="8" t="inlineStr">
        <is>
          <t>bài 6</t>
        </is>
      </c>
      <c r="B276" s="13" t="inlineStr">
        <is>
          <t>全力以赴</t>
        </is>
      </c>
      <c r="C276" s="8">
        <f>pinyin(B276)</f>
        <v/>
      </c>
      <c r="D276" s="8" t="inlineStr">
        <is>
          <t>用全部力量去做</t>
        </is>
      </c>
      <c r="E276" s="8">
        <f>IFERROR(__xludf.DUMMYFUNCTION("GOOGLETRANSLATE(B276, ""zh"", ""vi"")"),"Hãy dốc hết sức mình")</f>
        <v/>
      </c>
      <c r="F276" s="8" t="inlineStr">
        <is>
          <t>为了比赛，全队都在全力以赴地训练 // 他全力以赴准备这次考试</t>
        </is>
      </c>
      <c r="H276" s="9">
        <f>G276=B276</f>
        <v/>
      </c>
    </row>
    <row r="277">
      <c r="A277" s="8" t="inlineStr">
        <is>
          <t>bài 6</t>
        </is>
      </c>
      <c r="B277" s="13" t="inlineStr">
        <is>
          <t>怠慢</t>
        </is>
      </c>
      <c r="C277" s="8">
        <f>pinyin(B277)</f>
        <v/>
      </c>
      <c r="D277" s="8" t="inlineStr">
        <is>
          <t>不够热情、不重视对待别人</t>
        </is>
      </c>
      <c r="E277" s="8" t="inlineStr">
        <is>
          <t>lạnh nhạt， thờ ơ</t>
        </is>
      </c>
      <c r="F277" s="8" t="inlineStr">
        <is>
          <t>不好意思，今天怠慢您了 // 公司不敢怠慢任何客户</t>
        </is>
      </c>
      <c r="H277" s="9">
        <f>G277=B277</f>
        <v/>
      </c>
    </row>
    <row r="278">
      <c r="A278" s="8" t="inlineStr">
        <is>
          <t>bài 6</t>
        </is>
      </c>
      <c r="B278" s="13" t="inlineStr">
        <is>
          <t>敷衍</t>
        </is>
      </c>
      <c r="C278" s="8">
        <f>pinyin(B278)</f>
        <v/>
      </c>
      <c r="D278" s="8" t="inlineStr">
        <is>
          <t>不认真应付</t>
        </is>
      </c>
      <c r="E278" s="8" t="inlineStr">
        <is>
          <t>qua loa, lấy lệ</t>
        </is>
      </c>
      <c r="F278" s="8" t="inlineStr">
        <is>
          <t>他只是随便敷衍了几句 // 对工作不能总是敷衍</t>
        </is>
      </c>
      <c r="H278" s="9">
        <f>G278=B278</f>
        <v/>
      </c>
    </row>
    <row r="279">
      <c r="A279" s="8" t="inlineStr">
        <is>
          <t>bài 6</t>
        </is>
      </c>
      <c r="B279" s="6" t="inlineStr">
        <is>
          <t>想方设法</t>
        </is>
      </c>
      <c r="C279" s="8">
        <f>pinyin(B279)</f>
        <v/>
      </c>
      <c r="D279" s="8" t="inlineStr">
        <is>
          <t>用各种办法</t>
        </is>
      </c>
      <c r="E279" s="8">
        <f>IFERROR(__xludf.DUMMYFUNCTION("GOOGLETRANSLATE(B279, ""zh"", ""vi"")"),"Thử mọi cách")</f>
        <v/>
      </c>
      <c r="F279" s="8" t="inlineStr">
        <is>
          <t>为了治好孩子的病，父母想方设法筹钱 // 我们正在想方设法解决问题</t>
        </is>
      </c>
      <c r="H279" s="9">
        <f>G279=B279</f>
        <v/>
      </c>
    </row>
    <row r="280">
      <c r="A280" s="8" t="inlineStr">
        <is>
          <t>bài 6</t>
        </is>
      </c>
      <c r="B280" s="6" t="inlineStr">
        <is>
          <t>凑合</t>
        </is>
      </c>
      <c r="C280" s="8">
        <f>pinyin(B280)</f>
        <v/>
      </c>
      <c r="D280" s="8" t="inlineStr">
        <is>
          <t>勉强可以</t>
        </is>
      </c>
      <c r="E280" s="8">
        <f>IFERROR(__xludf.DUMMYFUNCTION("GOOGLETRANSLATE(B280, ""zh"", ""vi"")"),"ứng biến")</f>
        <v/>
      </c>
      <c r="F280" s="8" t="inlineStr">
        <is>
          <t>条件虽然一般，但暂时还能凑合住 // 今天太晚了，晚饭就先凑合一下吧</t>
        </is>
      </c>
      <c r="H280" s="9">
        <f>G280=B280</f>
        <v/>
      </c>
    </row>
    <row r="281">
      <c r="A281" s="8" t="inlineStr">
        <is>
          <t>bài 6</t>
        </is>
      </c>
      <c r="B281" s="6" t="inlineStr">
        <is>
          <t>忙碌</t>
        </is>
      </c>
      <c r="C281" s="8">
        <f>pinyin(B281)</f>
        <v/>
      </c>
      <c r="D281" s="8" t="inlineStr">
        <is>
          <t>非常忙</t>
        </is>
      </c>
      <c r="E281" s="8">
        <f>IFERROR(__xludf.DUMMYFUNCTION("GOOGLETRANSLATE(B281, ""zh"", ""vi"")"),"Bận")</f>
        <v/>
      </c>
      <c r="F281" s="8" t="inlineStr">
        <is>
          <t>年底的时候大家都特别忙碌 // 她每天忙碌得连休息时间都没有</t>
        </is>
      </c>
      <c r="H281" s="9">
        <f>G281=B281</f>
        <v/>
      </c>
    </row>
    <row r="282">
      <c r="A282" s="8" t="inlineStr">
        <is>
          <t>bài 6</t>
        </is>
      </c>
      <c r="B282" s="6" t="inlineStr">
        <is>
          <t>时光</t>
        </is>
      </c>
      <c r="C282" s="8">
        <f>pinyin(B282)</f>
        <v/>
      </c>
      <c r="D282" s="8" t="inlineStr">
        <is>
          <t>时间（多带回忆感）</t>
        </is>
      </c>
      <c r="E282" s="8">
        <f>IFERROR(__xludf.DUMMYFUNCTION("GOOGLETRANSLATE(B282, ""zh"", ""vi"")"),"Thời gian")</f>
        <v/>
      </c>
      <c r="F282" s="8" t="inlineStr">
        <is>
          <t>快乐的时光总是过得特别快 // 他常常怀念大学时光</t>
        </is>
      </c>
      <c r="H282" s="9">
        <f>G282=B282</f>
        <v/>
      </c>
    </row>
    <row r="283">
      <c r="A283" s="8" t="inlineStr">
        <is>
          <t>bài 6</t>
        </is>
      </c>
      <c r="B283" s="13" t="inlineStr">
        <is>
          <t>飞跃</t>
        </is>
      </c>
      <c r="C283" s="8">
        <f>pinyin(B283)</f>
        <v/>
      </c>
      <c r="D283" s="8" t="inlineStr">
        <is>
          <t>快速进步</t>
        </is>
      </c>
      <c r="E283" s="8">
        <f>IFERROR(__xludf.DUMMYFUNCTION("GOOGLETRANSLATE(B283, ""zh"", ""vi"")"),"nhảy vọt")</f>
        <v/>
      </c>
      <c r="F283" s="8" t="inlineStr">
        <is>
          <t>经过努力，他的成绩有了很大飞跃 // 公司近几年发展实现了飞跃</t>
        </is>
      </c>
      <c r="H283" s="9">
        <f>G283=B283</f>
        <v/>
      </c>
    </row>
    <row r="284">
      <c r="A284" s="8" t="inlineStr">
        <is>
          <t>bài 6</t>
        </is>
      </c>
      <c r="B284" s="13" t="inlineStr">
        <is>
          <t>投诉</t>
        </is>
      </c>
      <c r="C284" s="8">
        <f>pinyin(B284)</f>
        <v/>
      </c>
      <c r="D284" s="8" t="inlineStr">
        <is>
          <t>因不满意提出意见</t>
        </is>
      </c>
      <c r="E284" s="8" t="inlineStr">
        <is>
          <t>khiếu nại, phàn nàn</t>
        </is>
      </c>
      <c r="F284" s="8" t="inlineStr">
        <is>
          <t>顾客因为服务问题进行了投诉 // 如果有意见，可以向有关部门投诉</t>
        </is>
      </c>
      <c r="H284" s="9">
        <f>G284=B284</f>
        <v/>
      </c>
    </row>
    <row r="285">
      <c r="A285" s="8" t="inlineStr">
        <is>
          <t>bài 6</t>
        </is>
      </c>
      <c r="B285" s="13" t="inlineStr">
        <is>
          <t>激情</t>
        </is>
      </c>
      <c r="C285" s="8">
        <f>pinyin(B285)</f>
        <v/>
      </c>
      <c r="D285" s="8" t="inlineStr">
        <is>
          <t>强烈的热情</t>
        </is>
      </c>
      <c r="E285" s="8">
        <f>IFERROR(__xludf.DUMMYFUNCTION("GOOGLETRANSLATE(B285, ""zh"", ""vi"")"),"Niềm đam mê")</f>
        <v/>
      </c>
      <c r="F285" s="8" t="inlineStr">
        <is>
          <t>她对工作一直充满激情 // 年轻人应该保持对生活的激情</t>
        </is>
      </c>
      <c r="H285" s="9">
        <f>G285=B285</f>
        <v/>
      </c>
    </row>
    <row r="286">
      <c r="A286" s="8" t="inlineStr">
        <is>
          <t>bài 6</t>
        </is>
      </c>
      <c r="B286" s="6" t="inlineStr">
        <is>
          <t>年度</t>
        </is>
      </c>
      <c r="C286" s="8">
        <f>pinyin(B286)</f>
        <v/>
      </c>
      <c r="D286" s="8" t="inlineStr">
        <is>
          <t>和一年有关</t>
        </is>
      </c>
      <c r="E286" s="8">
        <f>IFERROR(__xludf.DUMMYFUNCTION("GOOGLETRANSLATE(B286, ""zh"", ""vi"")"),"năm")</f>
        <v/>
      </c>
      <c r="F286" s="8" t="inlineStr">
        <is>
          <t>公司年度会议下周举行 // 这是本年度最重要的项目</t>
        </is>
      </c>
      <c r="H286" s="9">
        <f>G286=B286</f>
        <v/>
      </c>
    </row>
    <row r="287">
      <c r="A287" s="8" t="inlineStr">
        <is>
          <t>bài 6</t>
        </is>
      </c>
      <c r="B287" s="6" t="inlineStr">
        <is>
          <t>考核</t>
        </is>
      </c>
      <c r="C287" s="8">
        <f>pinyin(B287)</f>
        <v/>
      </c>
      <c r="D287" s="8" t="inlineStr">
        <is>
          <t>检查和评价</t>
        </is>
      </c>
      <c r="E287" s="8">
        <f>IFERROR(__xludf.DUMMYFUNCTION("GOOGLETRANSLATE(B287, ""zh"", ""vi"")"),"Đánh giá")</f>
        <v/>
      </c>
      <c r="F287" s="8" t="inlineStr">
        <is>
          <t>年底公司会对员工进行考核 // 他的考核结果非常优秀</t>
        </is>
      </c>
      <c r="H287" s="9">
        <f>G287=B287</f>
        <v/>
      </c>
    </row>
    <row r="288">
      <c r="A288" s="8" t="inlineStr">
        <is>
          <t>bài 6</t>
        </is>
      </c>
      <c r="B288" s="13" t="inlineStr">
        <is>
          <t>敬业</t>
        </is>
      </c>
      <c r="C288" s="8">
        <f>pinyin(B288)</f>
        <v/>
      </c>
      <c r="D288" s="8" t="inlineStr">
        <is>
          <t>对工作认真负责</t>
        </is>
      </c>
      <c r="E288" s="8">
        <f>IFERROR(__xludf.DUMMYFUNCTION("GOOGLETRANSLATE(B288, ""zh"", ""vi"")"),"Sự cống hiến")</f>
        <v/>
      </c>
      <c r="F288" s="8" t="inlineStr">
        <is>
          <t>他工作认真负责，很有敬业精神 // 医生需要具备高度敬业精神</t>
        </is>
      </c>
      <c r="H288" s="9">
        <f>G288=B288</f>
        <v/>
      </c>
    </row>
    <row r="289">
      <c r="A289" s="8" t="inlineStr">
        <is>
          <t>bài 6</t>
        </is>
      </c>
      <c r="B289" s="6" t="inlineStr">
        <is>
          <t>兢兢业业</t>
        </is>
      </c>
      <c r="C289" s="8">
        <f>pinyin(B289)</f>
        <v/>
      </c>
      <c r="D289" s="8" t="inlineStr">
        <is>
          <t>非常认真小心地工作</t>
        </is>
      </c>
      <c r="E289" s="8">
        <f>IFERROR(__xludf.DUMMYFUNCTION("GOOGLETRANSLATE(B289, ""zh"", ""vi"")"),"tận tâm")</f>
        <v/>
      </c>
      <c r="F289" s="8" t="inlineStr">
        <is>
          <t>父亲几十年来一直兢兢业业地工作 // 她对每项任务都兢兢业业</t>
        </is>
      </c>
      <c r="H289" s="9">
        <f>G289=B289</f>
        <v/>
      </c>
    </row>
    <row r="290">
      <c r="A290" s="8" t="inlineStr">
        <is>
          <t>bài 6</t>
        </is>
      </c>
      <c r="B290" s="6" t="inlineStr">
        <is>
          <t>当初</t>
        </is>
      </c>
      <c r="C290" s="8">
        <f>pinyin(B290)</f>
        <v/>
      </c>
      <c r="D290" s="8" t="inlineStr">
        <is>
          <t>最开始的时候</t>
        </is>
      </c>
      <c r="E290" s="8">
        <f>IFERROR(__xludf.DUMMYFUNCTION("GOOGLETRANSLATE(B290, ""zh"", ""vi"")"),"Ban đầu")</f>
        <v/>
      </c>
      <c r="F290" s="8" t="inlineStr">
        <is>
          <t>当初如果再努力一点，结果可能不一样 // 我当初真不该轻易放弃</t>
        </is>
      </c>
      <c r="H290" s="9">
        <f>G290=B290</f>
        <v/>
      </c>
    </row>
    <row r="291">
      <c r="A291" s="8" t="inlineStr">
        <is>
          <t>bài 6</t>
        </is>
      </c>
      <c r="B291" s="6" t="inlineStr">
        <is>
          <t>技巧</t>
        </is>
      </c>
      <c r="C291" s="8">
        <f>pinyin(B291)</f>
        <v/>
      </c>
      <c r="D291" s="8" t="inlineStr">
        <is>
          <t>做事的方法和能力</t>
        </is>
      </c>
      <c r="E291" s="8">
        <f>IFERROR(__xludf.DUMMYFUNCTION("GOOGLETRANSLATE(B291, ""zh"", ""vi"")"),"Kỹ năng")</f>
        <v/>
      </c>
      <c r="F291" s="8" t="inlineStr">
        <is>
          <t>他说话很有技巧，从来不得罪人 // 学习也需要掌握一定技巧</t>
        </is>
      </c>
      <c r="H291" s="9">
        <f>G291=B291</f>
        <v/>
      </c>
    </row>
    <row r="292">
      <c r="A292" s="8" t="inlineStr">
        <is>
          <t>bài 6</t>
        </is>
      </c>
      <c r="B292" s="6" t="inlineStr">
        <is>
          <t>传授</t>
        </is>
      </c>
      <c r="C292" s="8">
        <f>pinyin(B292)</f>
        <v/>
      </c>
      <c r="D292" s="8" t="inlineStr">
        <is>
          <t>把技巧/经验/方法教给别人</t>
        </is>
      </c>
      <c r="E292" s="8">
        <f>IFERROR(__xludf.DUMMYFUNCTION("GOOGLETRANSLATE(B292, ""zh"", ""vi"")"),"dạy bảo")</f>
        <v/>
      </c>
      <c r="F292" s="8" t="inlineStr">
        <is>
          <t>老师毫无保留地传授经验 // 师傅认真传授自己的技术</t>
        </is>
      </c>
      <c r="H292" s="9">
        <f>G292=B292</f>
        <v/>
      </c>
    </row>
    <row r="293">
      <c r="A293" s="8" t="inlineStr">
        <is>
          <t>bài 6</t>
        </is>
      </c>
      <c r="B293" s="6" t="inlineStr">
        <is>
          <t>回报</t>
        </is>
      </c>
      <c r="C293" s="8">
        <f>pinyin(B293)</f>
        <v/>
      </c>
      <c r="D293" s="8" t="inlineStr">
        <is>
          <t>报答、得到结果</t>
        </is>
      </c>
      <c r="E293" s="8" t="inlineStr">
        <is>
          <t>hồi đáp</t>
        </is>
      </c>
      <c r="F293" s="8" t="inlineStr">
        <is>
          <t>多年的努力终于得到了回报 // 父母的付出不求回报</t>
        </is>
      </c>
      <c r="H293" s="9">
        <f>G293=B293</f>
        <v/>
      </c>
    </row>
    <row r="294">
      <c r="A294" s="8" t="inlineStr">
        <is>
          <t>bài 6</t>
        </is>
      </c>
      <c r="B294" s="6" t="inlineStr">
        <is>
          <t>人格</t>
        </is>
      </c>
      <c r="C294" s="8">
        <f>pinyin(B294)</f>
        <v/>
      </c>
      <c r="D294" s="8" t="inlineStr">
        <is>
          <t>人的品德和性格</t>
        </is>
      </c>
      <c r="E294" s="8">
        <f>IFERROR(__xludf.DUMMYFUNCTION("GOOGLETRANSLATE(B294, ""zh"", ""vi"")"),"nhân cách")</f>
        <v/>
      </c>
      <c r="F294" s="8" t="inlineStr">
        <is>
          <t>我最欣赏的是他的人格魅力 // 做人要有独立的人格</t>
        </is>
      </c>
      <c r="H294" s="9">
        <f>G294=B294</f>
        <v/>
      </c>
    </row>
    <row r="295">
      <c r="A295" s="8" t="inlineStr">
        <is>
          <t>bài 6</t>
        </is>
      </c>
      <c r="B295" s="6" t="inlineStr">
        <is>
          <t>施展</t>
        </is>
      </c>
      <c r="C295" s="8">
        <f>pinyin(B295)</f>
        <v/>
      </c>
      <c r="D295" s="8" t="inlineStr">
        <is>
          <t>发挥能力</t>
        </is>
      </c>
      <c r="E295" s="8" t="inlineStr">
        <is>
          <t>phát huy</t>
        </is>
      </c>
      <c r="F295" s="8" t="inlineStr">
        <is>
          <t>公司终于给了他施展能力的机会 // 她希望能施展自己的才华</t>
        </is>
      </c>
      <c r="H295" s="9">
        <f>G295=B295</f>
        <v/>
      </c>
    </row>
    <row r="296">
      <c r="A296" s="8" t="inlineStr">
        <is>
          <t>bài 6</t>
        </is>
      </c>
      <c r="B296" s="6" t="inlineStr">
        <is>
          <t>时机</t>
        </is>
      </c>
      <c r="C296" s="8">
        <f>pinyin(B296)</f>
        <v/>
      </c>
      <c r="D296" s="8" t="inlineStr">
        <is>
          <t>合适的时候</t>
        </is>
      </c>
      <c r="E296" s="8">
        <f>IFERROR(__xludf.DUMMYFUNCTION("GOOGLETRANSLATE(B296, ""zh"", ""vi"")"),"cơ hội")</f>
        <v/>
      </c>
      <c r="F296" s="8" t="inlineStr">
        <is>
          <t>现在正是投资的好时机 // 他一直在等待合适的时机</t>
        </is>
      </c>
      <c r="H296" s="9">
        <f>G296=B296</f>
        <v/>
      </c>
    </row>
    <row r="297">
      <c r="A297" s="8" t="inlineStr">
        <is>
          <t>bài 6</t>
        </is>
      </c>
      <c r="B297" s="6" t="inlineStr">
        <is>
          <t>创办</t>
        </is>
      </c>
      <c r="C297" s="8">
        <f>pinyin(B297)</f>
        <v/>
      </c>
      <c r="D297" s="8" t="inlineStr">
        <is>
          <t>建立公司、学校等</t>
        </is>
      </c>
      <c r="E297" s="8">
        <f>IFERROR(__xludf.DUMMYFUNCTION("GOOGLETRANSLATE(B297, ""zh"", ""vi"")"),"Thành lập")</f>
        <v/>
      </c>
      <c r="F297" s="8" t="inlineStr">
        <is>
          <t>父亲年轻时创办了这家公司 // 她梦想创办自己的品牌</t>
        </is>
      </c>
      <c r="H297" s="9">
        <f>G297=B297</f>
        <v/>
      </c>
    </row>
    <row r="298">
      <c r="A298" s="8" t="inlineStr">
        <is>
          <t>bài 6</t>
        </is>
      </c>
      <c r="B298" s="6" t="inlineStr">
        <is>
          <t>边缘化</t>
        </is>
      </c>
      <c r="C298" s="8">
        <f>pinyin(B298)</f>
        <v/>
      </c>
      <c r="D298" s="8" t="inlineStr">
        <is>
          <t>变得不重要</t>
        </is>
      </c>
      <c r="E298" s="8">
        <f>IFERROR(__xludf.DUMMYFUNCTION("GOOGLETRANSLATE(B298, ""zh"", ""vi"")"),"Sự gạt ra ngoài lề")</f>
        <v/>
      </c>
      <c r="F298" s="8" t="inlineStr">
        <is>
          <t>因为长期不发言，他逐渐被边缘化了 // 一些传统行业正在被边缘化</t>
        </is>
      </c>
      <c r="H298" s="9">
        <f>G298=B298</f>
        <v/>
      </c>
    </row>
    <row r="299">
      <c r="A299" s="8" t="inlineStr">
        <is>
          <t>bài 6</t>
        </is>
      </c>
      <c r="B299" s="6" t="inlineStr">
        <is>
          <t>鸦雀无声</t>
        </is>
      </c>
      <c r="C299" s="8">
        <f>pinyin(B299)</f>
        <v/>
      </c>
      <c r="D299" s="8" t="inlineStr">
        <is>
          <t>非常安静</t>
        </is>
      </c>
      <c r="E299" s="8">
        <f>IFERROR(__xludf.DUMMYFUNCTION("GOOGLETRANSLATE(B299, ""zh"", ""vi"")"),"Im lặng")</f>
        <v/>
      </c>
      <c r="F299" s="8" t="inlineStr">
        <is>
          <t>老师一进教室，全班立刻鸦雀无声 // 会场突然变得鸦雀无声</t>
        </is>
      </c>
      <c r="H299" s="9">
        <f>G299=B299</f>
        <v/>
      </c>
    </row>
    <row r="300">
      <c r="A300" s="8" t="inlineStr">
        <is>
          <t>bài 6</t>
        </is>
      </c>
      <c r="B300" s="6" t="inlineStr">
        <is>
          <t>飞跃式</t>
        </is>
      </c>
      <c r="C300" s="8">
        <f>pinyin(B300)</f>
        <v/>
      </c>
      <c r="D300" s="8" t="inlineStr">
        <is>
          <t>发展特别快</t>
        </is>
      </c>
      <c r="E300" s="8">
        <f>IFERROR(__xludf.DUMMYFUNCTION("GOOGLETRANSLATE(B300, ""zh"", ""vi"")"),"Bước nhảy")</f>
        <v/>
      </c>
      <c r="F300" s="8" t="inlineStr">
        <is>
          <t>近几年公司取得了飞跃式发展 // 科技行业正经历飞跃式进步</t>
        </is>
      </c>
      <c r="H300" s="9">
        <f>G300=B300</f>
        <v/>
      </c>
    </row>
    <row r="301">
      <c r="A301" s="8" t="inlineStr">
        <is>
          <t>bài 6</t>
        </is>
      </c>
      <c r="B301" s="6" t="inlineStr">
        <is>
          <t>毫无保留</t>
        </is>
      </c>
      <c r="C301" s="8">
        <f>pinyin(B301)</f>
        <v/>
      </c>
      <c r="D301" s="8" t="inlineStr">
        <is>
          <t>一点也不隐藏</t>
        </is>
      </c>
      <c r="E301" s="8">
        <f>IFERROR(__xludf.DUMMYFUNCTION("GOOGLETRANSLATE(B301, ""zh"", ""vi"")"),"Không chút do dự")</f>
        <v/>
      </c>
      <c r="F301" s="8" t="inlineStr">
        <is>
          <t>老师毫无保留地帮助学生成长 // 她把自己的经验毫无保留地分享出来</t>
        </is>
      </c>
      <c r="H301" s="9">
        <f>G301=B301</f>
        <v/>
      </c>
    </row>
    <row r="302">
      <c r="A302" s="8" t="inlineStr">
        <is>
          <t>bài 6</t>
        </is>
      </c>
      <c r="B302" s="6" t="inlineStr">
        <is>
          <t>咨询师</t>
        </is>
      </c>
      <c r="C302" s="8">
        <f>pinyin(B302)</f>
        <v/>
      </c>
      <c r="D302" s="8" t="inlineStr">
        <is>
          <t>给别人建议的人</t>
        </is>
      </c>
      <c r="E302" s="8">
        <f>IFERROR(__xludf.DUMMYFUNCTION("GOOGLETRANSLATE(B302, ""zh"", ""vi"")"),"Tư vấn")</f>
        <v/>
      </c>
      <c r="F302" s="8" t="inlineStr">
        <is>
          <t>她是一名专业的心理咨询师 // 咨询师给了我很多有用建议</t>
        </is>
      </c>
      <c r="H302" s="9">
        <f>G302=B302</f>
        <v/>
      </c>
    </row>
    <row r="303">
      <c r="A303" s="8" t="inlineStr">
        <is>
          <t>bài 6</t>
        </is>
      </c>
      <c r="B303" s="6" t="inlineStr">
        <is>
          <t>老手</t>
        </is>
      </c>
      <c r="C303" s="8">
        <f>pinyin(B303)</f>
        <v/>
      </c>
      <c r="D303" s="8" t="inlineStr">
        <is>
          <t>很有经验的人</t>
        </is>
      </c>
      <c r="E303" s="8">
        <f>IFERROR(__xludf.DUMMYFUNCTION("GOOGLETRANSLATE(B303, ""zh"", ""vi"")"),"cựu chiến binh")</f>
        <v/>
      </c>
      <c r="F303" s="8" t="inlineStr">
        <is>
          <t>他是修电脑的老手 // 这种事情对老手来说很简单</t>
        </is>
      </c>
      <c r="H303" s="9">
        <f>G303=B303</f>
        <v/>
      </c>
    </row>
    <row r="304">
      <c r="A304" s="8" t="inlineStr">
        <is>
          <t>bài 6</t>
        </is>
      </c>
      <c r="B304" s="6" t="inlineStr">
        <is>
          <t>新手</t>
        </is>
      </c>
      <c r="C304" s="8">
        <f>pinyin(B304)</f>
        <v/>
      </c>
      <c r="D304" s="8" t="inlineStr">
        <is>
          <t>刚开始学习的人</t>
        </is>
      </c>
      <c r="E304" s="8">
        <f>IFERROR(__xludf.DUMMYFUNCTION("GOOGLETRANSLATE(B304, ""zh"", ""vi"")"),"Người mới")</f>
        <v/>
      </c>
      <c r="F304" s="8" t="inlineStr">
        <is>
          <t>我是新手，还有很多地方不懂 // 新手刚开始犯错很正常</t>
        </is>
      </c>
      <c r="H304" s="9">
        <f>G304=B304</f>
        <v/>
      </c>
    </row>
    <row r="305">
      <c r="A305" s="8" t="inlineStr">
        <is>
          <t>bài 6</t>
        </is>
      </c>
      <c r="B305" s="6" t="inlineStr">
        <is>
          <t>前辈</t>
        </is>
      </c>
      <c r="C305" s="8">
        <f>pinyin(B305)</f>
        <v/>
      </c>
      <c r="D305" s="8" t="inlineStr">
        <is>
          <t>比自己经验更多的人</t>
        </is>
      </c>
      <c r="E305" s="8">
        <f>IFERROR(__xludf.DUMMYFUNCTION("GOOGLETRANSLATE(B305, ""zh"", ""vi"")"),"người lớn tuổi")</f>
        <v/>
      </c>
      <c r="F305" s="8" t="inlineStr">
        <is>
          <t>这位前辈给了我很多帮助 // 见到前辈应该主动打招呼</t>
        </is>
      </c>
      <c r="H305" s="9">
        <f>G305=B305</f>
        <v/>
      </c>
    </row>
    <row r="306">
      <c r="A306" s="8" t="inlineStr">
        <is>
          <t>bài 6</t>
        </is>
      </c>
      <c r="B306" s="6" t="inlineStr">
        <is>
          <t>插班生</t>
        </is>
      </c>
      <c r="C306" s="8">
        <f>pinyin(B306)</f>
        <v/>
      </c>
      <c r="D306" s="8" t="inlineStr">
        <is>
          <t>中途进班的学生</t>
        </is>
      </c>
      <c r="E306" s="8">
        <f>IFERROR(__xludf.DUMMYFUNCTION("GOOGLETRANSLATE(B306, ""zh"", ""vi"")"),"sinh viên chuyển trường")</f>
        <v/>
      </c>
      <c r="F306" s="8" t="inlineStr">
        <is>
          <t>班里来了一个新的插班生 // 插班生需要时间适应环境</t>
        </is>
      </c>
      <c r="H306" s="9">
        <f>G306=B306</f>
        <v/>
      </c>
    </row>
    <row r="307">
      <c r="A307" s="8" t="inlineStr">
        <is>
          <t>bài 6</t>
        </is>
      </c>
      <c r="B307" s="6" t="inlineStr">
        <is>
          <t>性感</t>
        </is>
      </c>
      <c r="C307" s="8">
        <f>pinyin(B307)</f>
        <v/>
      </c>
      <c r="D307" s="8" t="inlineStr">
        <is>
          <t>有吸引力</t>
        </is>
      </c>
      <c r="E307" s="8">
        <f>IFERROR(__xludf.DUMMYFUNCTION("GOOGLETRANSLATE(B307, ""zh"", ""vi"")"),"Quyến rũ")</f>
        <v/>
      </c>
      <c r="F307" s="8" t="inlineStr">
        <is>
          <t>她今天的穿着看起来很性感 // 这种风格比较成熟性感</t>
        </is>
      </c>
      <c r="H307" s="9">
        <f>G307=B307</f>
        <v/>
      </c>
    </row>
    <row r="308">
      <c r="A308" s="8" t="inlineStr">
        <is>
          <t>bài 6</t>
        </is>
      </c>
      <c r="B308" s="6" t="inlineStr">
        <is>
          <t>澄清</t>
        </is>
      </c>
      <c r="C308" s="8">
        <f>pinyin(B308)</f>
        <v/>
      </c>
      <c r="D308" s="8" t="inlineStr">
        <is>
          <t>解释清楚</t>
        </is>
      </c>
      <c r="E308" s="8">
        <f>IFERROR(__xludf.DUMMYFUNCTION("GOOGLETRANSLATE(B308, ""zh"", ""vi"")"),"làm rõ")</f>
        <v/>
      </c>
      <c r="F308" s="8" t="inlineStr">
        <is>
          <t>公司马上发公告澄清事实 // 他主动出来澄清误会</t>
        </is>
      </c>
      <c r="H308" s="9">
        <f>G308=B308</f>
        <v/>
      </c>
    </row>
    <row r="309">
      <c r="A309" s="8" t="inlineStr">
        <is>
          <t>bài 6</t>
        </is>
      </c>
      <c r="B309" s="6" t="inlineStr">
        <is>
          <t>奠定</t>
        </is>
      </c>
      <c r="C309" s="8">
        <f>pinyin(B309)</f>
        <v/>
      </c>
      <c r="D309" s="8" t="inlineStr">
        <is>
          <t>打下基础</t>
        </is>
      </c>
      <c r="E309" s="8">
        <f>IFERROR(__xludf.DUMMYFUNCTION("GOOGLETRANSLATE(B309, ""zh"", ""vi"")"),"Đặt nền móng")</f>
        <v/>
      </c>
      <c r="F309" s="8" t="inlineStr">
        <is>
          <t>这次成功为未来发展奠定了基础 // 良好的习惯是在小时候奠定的</t>
        </is>
      </c>
      <c r="H309" s="9">
        <f>G309=B309</f>
        <v/>
      </c>
    </row>
    <row r="310">
      <c r="A310" s="8" t="inlineStr">
        <is>
          <t>bài 6</t>
        </is>
      </c>
      <c r="B310" s="6" t="inlineStr">
        <is>
          <t>动机</t>
        </is>
      </c>
      <c r="C310" s="8">
        <f>pinyin(B310)</f>
        <v/>
      </c>
      <c r="D310" s="8" t="inlineStr">
        <is>
          <t>做事原因</t>
        </is>
      </c>
      <c r="E310" s="8">
        <f>IFERROR(__xludf.DUMMYFUNCTION("GOOGLETRANSLATE(B310, ""zh"", ""vi"")"),"động lực")</f>
        <v/>
      </c>
      <c r="F310" s="8" t="inlineStr">
        <is>
          <t>大家怀疑他的动机不单纯 // 做事之前要想清楚自己的动机</t>
        </is>
      </c>
      <c r="H310" s="9">
        <f>G310=B310</f>
        <v/>
      </c>
    </row>
    <row r="311">
      <c r="A311" s="8" t="inlineStr">
        <is>
          <t>bài 6</t>
        </is>
      </c>
      <c r="B311" s="6" t="inlineStr">
        <is>
          <t>断绝</t>
        </is>
      </c>
      <c r="C311" s="8">
        <f>pinyin(B311)</f>
        <v/>
      </c>
      <c r="D311" s="8" t="inlineStr">
        <is>
          <t>完全停止联系</t>
        </is>
      </c>
      <c r="E311" s="8">
        <f>IFERROR(__xludf.DUMMYFUNCTION("GOOGLETRANSLATE(B311, ""zh"", ""vi"")"),"cắt đứt")</f>
        <v/>
      </c>
      <c r="F311" s="8" t="inlineStr">
        <is>
          <t>他决定和对方断绝来往 // 两家公司已经断绝合作关系</t>
        </is>
      </c>
      <c r="H311" s="9">
        <f>G311=B311</f>
        <v/>
      </c>
    </row>
    <row r="312">
      <c r="A312" s="8" t="inlineStr">
        <is>
          <t>bài 6</t>
        </is>
      </c>
      <c r="B312" s="6" t="inlineStr">
        <is>
          <t>见闻</t>
        </is>
      </c>
      <c r="C312" s="8">
        <f>pinyin(B312)</f>
        <v/>
      </c>
      <c r="D312" s="8" t="inlineStr">
        <is>
          <t>看到和听到的事</t>
        </is>
      </c>
      <c r="E312" s="8">
        <f>IFERROR(__xludf.DUMMYFUNCTION("GOOGLETRANSLATE(B312, ""zh"", ""vi"")"),"kiến thức")</f>
        <v/>
      </c>
      <c r="F312" s="8" t="inlineStr">
        <is>
          <t>旅行让他增长了不少见闻 // 他喜欢和朋友分享见闻</t>
        </is>
      </c>
      <c r="H312" s="9">
        <f>G312=B312</f>
        <v/>
      </c>
    </row>
    <row r="313">
      <c r="A313" s="8" t="inlineStr">
        <is>
          <t>bài 6</t>
        </is>
      </c>
      <c r="B313" s="6" t="inlineStr">
        <is>
          <t>章程</t>
        </is>
      </c>
      <c r="C313" s="8">
        <f>pinyin(B313)</f>
        <v/>
      </c>
      <c r="D313" s="8" t="inlineStr">
        <is>
          <t>规定和规则</t>
        </is>
      </c>
      <c r="E313" s="8">
        <f>IFERROR(__xludf.DUMMYFUNCTION("GOOGLETRANSLATE(B313, ""zh"", ""vi"")"),"Điều lệ công ty")</f>
        <v/>
      </c>
      <c r="F313" s="8" t="inlineStr">
        <is>
          <t>公司章程规定员工必须遵守纪律 // 修改章程需要大家同意</t>
        </is>
      </c>
      <c r="H313" s="9">
        <f>G313=B313</f>
        <v/>
      </c>
    </row>
    <row r="314">
      <c r="A314" s="8" t="inlineStr">
        <is>
          <t>bài 6</t>
        </is>
      </c>
      <c r="B314" s="6" t="inlineStr">
        <is>
          <t>周年</t>
        </is>
      </c>
      <c r="C314" s="8">
        <f>pinyin(B314)</f>
        <v/>
      </c>
      <c r="D314" s="8" t="inlineStr">
        <is>
          <t>满一年的纪念</t>
        </is>
      </c>
      <c r="E314" s="8">
        <f>IFERROR(__xludf.DUMMYFUNCTION("GOOGLETRANSLATE(B314, ""zh"", ""vi"")"),"dịp kỉ niệm")</f>
        <v/>
      </c>
      <c r="F314" s="8" t="inlineStr">
        <is>
          <t>今年是公司成立二十周年 // 学校准备举办周年庆典</t>
        </is>
      </c>
      <c r="H314" s="9">
        <f>G314=B314</f>
        <v/>
      </c>
    </row>
    <row r="315">
      <c r="A315" s="8" t="inlineStr">
        <is>
          <t>bài 6</t>
        </is>
      </c>
      <c r="B315" s="6" t="inlineStr">
        <is>
          <t>起草</t>
        </is>
      </c>
      <c r="C315" s="8">
        <f>pinyin(B315)</f>
        <v/>
      </c>
      <c r="D315" s="8" t="inlineStr">
        <is>
          <t>写第一版文件</t>
        </is>
      </c>
      <c r="E315" s="8">
        <f>IFERROR(__xludf.DUMMYFUNCTION("GOOGLETRANSLATE(B315, ""zh"", ""vi"")"),"Soạn thảo")</f>
        <v/>
      </c>
      <c r="F315" s="8" t="inlineStr">
        <is>
          <t>律师正在起草合同 // 政府已经开始起草新政策</t>
        </is>
      </c>
      <c r="H315" s="9">
        <f>G315=B315</f>
        <v/>
      </c>
    </row>
    <row r="316">
      <c r="A316" s="8" t="inlineStr">
        <is>
          <t>bài 6</t>
        </is>
      </c>
      <c r="B316" s="6" t="inlineStr">
        <is>
          <t>无赖</t>
        </is>
      </c>
      <c r="C316" s="8">
        <f>pinyin(B316)</f>
        <v/>
      </c>
      <c r="D316" s="8" t="inlineStr">
        <is>
          <t>不讲理、爱耍赖的人</t>
        </is>
      </c>
      <c r="E316" s="8">
        <f>IFERROR(__xludf.DUMMYFUNCTION("GOOGLETRANSLATE(B316, ""zh"", ""vi"")"),"kẻ phản bội")</f>
        <v/>
      </c>
      <c r="F316" s="8" t="inlineStr">
        <is>
          <t>那个无赖总喜欢找别人麻烦 // 别跟无赖讲道理</t>
        </is>
      </c>
      <c r="H316" s="9">
        <f>G316=B316</f>
        <v/>
      </c>
    </row>
    <row r="317">
      <c r="A317" s="8" t="inlineStr">
        <is>
          <t>bài 6</t>
        </is>
      </c>
      <c r="B317" s="6" t="inlineStr">
        <is>
          <t>暧昧</t>
        </is>
      </c>
      <c r="C317" s="8">
        <f>pinyin(B317)</f>
        <v/>
      </c>
      <c r="D317" s="8" t="inlineStr">
        <is>
          <t>关系不清楚</t>
        </is>
      </c>
      <c r="E317" s="8">
        <f>IFERROR(__xludf.DUMMYFUNCTION("GOOGLETRANSLATE(B317, ""zh"", ""vi"")"),"mơ hồ")</f>
        <v/>
      </c>
      <c r="F317" s="8" t="inlineStr">
        <is>
          <t>他们之间的关系有点暧昧 // 她不喜欢这种暧昧不清的状态</t>
        </is>
      </c>
      <c r="H317" s="9">
        <f>G317=B317</f>
        <v/>
      </c>
    </row>
    <row r="318">
      <c r="A318" s="8" t="inlineStr">
        <is>
          <t>bài 6</t>
        </is>
      </c>
      <c r="B318" s="6" t="inlineStr">
        <is>
          <t>后顾之忧</t>
        </is>
      </c>
      <c r="C318" s="8">
        <f>pinyin(B318)</f>
        <v/>
      </c>
      <c r="D318" s="8" t="inlineStr">
        <is>
          <t>对未来的担心</t>
        </is>
      </c>
      <c r="E318" s="8">
        <f>IFERROR(__xludf.DUMMYFUNCTION("GOOGLETRANSLATE(B318, ""zh"", ""vi"")"),"Đừng lo lắng về tương lai")</f>
        <v/>
      </c>
      <c r="F318" s="8" t="inlineStr">
        <is>
          <t>孩子长大以后，父母就少了很多后顾之忧 // 有了稳定收入，我终于没有后顾之忧了</t>
        </is>
      </c>
      <c r="H318" s="9">
        <f>G318=B318</f>
        <v/>
      </c>
    </row>
    <row r="319">
      <c r="A319" s="8" t="inlineStr">
        <is>
          <t>bài 7</t>
        </is>
      </c>
      <c r="B319" s="6" t="inlineStr">
        <is>
          <t>天生</t>
        </is>
      </c>
      <c r="C319" s="8">
        <f>pinyin(B319)</f>
        <v/>
      </c>
      <c r="D319" s="8" t="inlineStr">
        <is>
          <t>生来就有的，不是后天学的</t>
        </is>
      </c>
      <c r="E319" s="8">
        <f>IFERROR(__xludf.DUMMYFUNCTION("GOOGLETRANSLATE(B319, ""zh"", ""vi"")"),"Bẩm sinh")</f>
        <v/>
      </c>
      <c r="F319" s="14" t="inlineStr">
        <is>
          <t>有些人天生就很聪明</t>
        </is>
      </c>
      <c r="H319" s="9">
        <f>G319=B319</f>
        <v/>
      </c>
    </row>
    <row r="320">
      <c r="A320" s="8" t="inlineStr">
        <is>
          <t>bài 7</t>
        </is>
      </c>
      <c r="B320" s="6" t="inlineStr">
        <is>
          <t>做主</t>
        </is>
      </c>
      <c r="C320" s="8">
        <f>pinyin(B320)</f>
        <v/>
      </c>
      <c r="D320" s="8" t="inlineStr">
        <is>
          <t>自己决定事情</t>
        </is>
      </c>
      <c r="E320" s="8">
        <f>IFERROR(__xludf.DUMMYFUNCTION("GOOGLETRANSLATE(B320, ""zh"", ""vi"")"),"Hãy dẫn đầu")</f>
        <v/>
      </c>
      <c r="F320" s="14" t="inlineStr">
        <is>
          <t>父母不应该替孩子做主</t>
        </is>
      </c>
      <c r="H320" s="9">
        <f>G320=B320</f>
        <v/>
      </c>
    </row>
    <row r="321">
      <c r="A321" s="8" t="inlineStr">
        <is>
          <t>bài 7</t>
        </is>
      </c>
      <c r="B321" s="6" t="inlineStr">
        <is>
          <t>挫折</t>
        </is>
      </c>
      <c r="C321" s="8">
        <f>pinyin(B321)</f>
        <v/>
      </c>
      <c r="D321" s="8" t="inlineStr">
        <is>
          <t>失败、打击  更重</t>
        </is>
      </c>
      <c r="E321" s="8">
        <f>IFERROR(__xludf.DUMMYFUNCTION("GOOGLETRANSLATE(B321, ""zh"", ""vi"")"),"sự thất vọng")</f>
        <v/>
      </c>
      <c r="F321" s="14" t="inlineStr">
        <is>
          <t>失败的挫折让他更加努力</t>
        </is>
      </c>
      <c r="H321" s="9">
        <f>G321=B321</f>
        <v/>
      </c>
    </row>
    <row r="322">
      <c r="A322" s="8" t="inlineStr">
        <is>
          <t>bài 7</t>
        </is>
      </c>
      <c r="B322" s="6" t="inlineStr">
        <is>
          <t>意志</t>
        </is>
      </c>
      <c r="C322" s="8">
        <f>pinyin(B322)</f>
        <v/>
      </c>
      <c r="D322" s="8" t="inlineStr">
        <is>
          <t>坚定的决心</t>
        </is>
      </c>
      <c r="E322" s="8" t="inlineStr">
        <is>
          <t>ý chí</t>
        </is>
      </c>
      <c r="F322" s="14" t="inlineStr">
        <is>
          <t>坚持锻炼需要很大的意志</t>
        </is>
      </c>
      <c r="H322" s="9">
        <f>G322=B322</f>
        <v/>
      </c>
    </row>
    <row r="323">
      <c r="A323" s="8" t="inlineStr">
        <is>
          <t>bài 7</t>
        </is>
      </c>
      <c r="B323" s="6" t="inlineStr">
        <is>
          <t>敏锐</t>
        </is>
      </c>
      <c r="C323" s="8">
        <f>pinyin(B323)</f>
        <v/>
      </c>
      <c r="D323" s="8" t="inlineStr">
        <is>
          <t>感觉很灵敏</t>
        </is>
      </c>
      <c r="E323" s="8" t="inlineStr">
        <is>
          <t>nhạy cảm, nhạy bén</t>
        </is>
      </c>
      <c r="F323" s="14" t="inlineStr">
        <is>
          <t>她对音乐有敏锐的感觉</t>
        </is>
      </c>
      <c r="H323" s="9">
        <f>G323=B323</f>
        <v/>
      </c>
    </row>
    <row r="324">
      <c r="A324" s="8" t="inlineStr">
        <is>
          <t>bài 7</t>
        </is>
      </c>
      <c r="B324" s="6" t="inlineStr">
        <is>
          <t>畏惧</t>
        </is>
      </c>
      <c r="C324" s="8">
        <f>pinyin(B324)</f>
        <v/>
      </c>
      <c r="D324" s="8" t="inlineStr">
        <is>
          <t>害怕, 想放弃</t>
        </is>
      </c>
      <c r="E324" s="8">
        <f>IFERROR(__xludf.DUMMYFUNCTION("GOOGLETRANSLATE(B324, ""zh"", ""vi"")"),"nỗi sợ")</f>
        <v/>
      </c>
      <c r="F324" s="14" t="inlineStr">
        <is>
          <t>小孩常常畏惧黑暗</t>
        </is>
      </c>
      <c r="H324" s="9">
        <f>G324=B324</f>
        <v/>
      </c>
    </row>
    <row r="325">
      <c r="A325" s="8" t="inlineStr">
        <is>
          <t>bài 7</t>
        </is>
      </c>
      <c r="B325" s="6" t="inlineStr">
        <is>
          <t>勇于</t>
        </is>
      </c>
      <c r="C325" s="8">
        <f>pinyin(B325)</f>
        <v/>
      </c>
      <c r="D325" s="8" t="inlineStr">
        <is>
          <t>敢于去做</t>
        </is>
      </c>
      <c r="E325" s="8">
        <f>IFERROR(__xludf.DUMMYFUNCTION("GOOGLETRANSLATE(B325, ""zh"", ""vi"")"),"Lòng can đảm")</f>
        <v/>
      </c>
      <c r="F325" s="14" t="inlineStr">
        <is>
          <t>他勇于尝试新事物</t>
        </is>
      </c>
      <c r="H325" s="9">
        <f>G325=B325</f>
        <v/>
      </c>
    </row>
    <row r="326">
      <c r="A326" s="8" t="inlineStr">
        <is>
          <t>bài 7</t>
        </is>
      </c>
      <c r="B326" s="6" t="inlineStr">
        <is>
          <t>伤脑筋</t>
        </is>
      </c>
      <c r="C326" s="8">
        <f>pinyin(B326)</f>
        <v/>
      </c>
      <c r="D326" s="8" t="inlineStr">
        <is>
          <t>太难了让人很头疼、很费脑子</t>
        </is>
      </c>
      <c r="E326" s="8">
        <f>IFERROR(__xludf.DUMMYFUNCTION("GOOGLETRANSLATE(B326, ""zh"", ""vi"")"),"rắc rối")</f>
        <v/>
      </c>
      <c r="F326" s="14" t="inlineStr">
        <is>
          <t>这个数学题真伤脑筋</t>
        </is>
      </c>
      <c r="H326" s="9">
        <f>G326=B326</f>
        <v/>
      </c>
    </row>
    <row r="327">
      <c r="A327" s="8" t="inlineStr">
        <is>
          <t>bài 7</t>
        </is>
      </c>
      <c r="B327" s="6" t="inlineStr">
        <is>
          <t>枯燥</t>
        </is>
      </c>
      <c r="C327" s="8">
        <f>pinyin(B327)</f>
        <v/>
      </c>
      <c r="D327" s="8" t="inlineStr">
        <is>
          <t>没有意思，很单调</t>
        </is>
      </c>
      <c r="E327" s="8" t="inlineStr">
        <is>
          <t>nhàm chán</t>
        </is>
      </c>
      <c r="F327" s="14" t="inlineStr">
        <is>
          <t>这本书写得太枯燥了</t>
        </is>
      </c>
      <c r="H327" s="9">
        <f>G327=B327</f>
        <v/>
      </c>
    </row>
    <row r="328">
      <c r="A328" s="8" t="inlineStr">
        <is>
          <t>bài 7</t>
        </is>
      </c>
      <c r="B328" s="6" t="inlineStr">
        <is>
          <t>擅长</t>
        </is>
      </c>
      <c r="C328" s="8">
        <f>pinyin(B328)</f>
        <v/>
      </c>
      <c r="D328" s="8" t="inlineStr">
        <is>
          <t>很会做某事</t>
        </is>
      </c>
      <c r="E328" s="8">
        <f>IFERROR(__xludf.DUMMYFUNCTION("GOOGLETRANSLATE(B328, ""zh"", ""vi"")"),"Có tay nghề")</f>
        <v/>
      </c>
      <c r="F328" s="14" t="inlineStr">
        <is>
          <t>我不擅长唱歌</t>
        </is>
      </c>
      <c r="H328" s="9">
        <f>G328=B328</f>
        <v/>
      </c>
    </row>
    <row r="329">
      <c r="A329" s="8" t="inlineStr">
        <is>
          <t>bài 7</t>
        </is>
      </c>
      <c r="B329" s="6" t="inlineStr">
        <is>
          <t>成本</t>
        </is>
      </c>
      <c r="C329" s="8">
        <f>pinyin(B329)</f>
        <v/>
      </c>
      <c r="D329" s="8" t="inlineStr">
        <is>
          <t>做事情付出的钱和精力</t>
        </is>
      </c>
      <c r="E329" s="8" t="inlineStr">
        <is>
          <t>chi phí</t>
        </is>
      </c>
      <c r="F329" s="14" t="inlineStr">
        <is>
          <t>学费是很大的成本</t>
        </is>
      </c>
      <c r="H329" s="9">
        <f>G329=B329</f>
        <v/>
      </c>
    </row>
    <row r="330">
      <c r="A330" s="8" t="inlineStr">
        <is>
          <t>bài 7</t>
        </is>
      </c>
      <c r="B330" s="6" t="inlineStr">
        <is>
          <t>急躁</t>
        </is>
      </c>
      <c r="C330" s="8">
        <f>pinyin(B330)</f>
        <v/>
      </c>
      <c r="D330" s="8" t="inlineStr">
        <is>
          <t>心里着急，没有耐心</t>
        </is>
      </c>
      <c r="E330" s="8">
        <f>IFERROR(__xludf.DUMMYFUNCTION("GOOGLETRANSLATE(B330, ""zh"", ""vi"")"),"thiếu kiên nhẫn")</f>
        <v/>
      </c>
      <c r="F330" s="14" t="inlineStr">
        <is>
          <t>他性格很急躁</t>
        </is>
      </c>
      <c r="H330" s="9">
        <f>G330=B330</f>
        <v/>
      </c>
    </row>
    <row r="331">
      <c r="A331" s="8" t="inlineStr">
        <is>
          <t>bài 7</t>
        </is>
      </c>
      <c r="B331" s="6" t="inlineStr">
        <is>
          <t>顾虑</t>
        </is>
      </c>
      <c r="C331" s="8">
        <f>pinyin(B331)</f>
        <v/>
      </c>
      <c r="D331" s="8" t="inlineStr">
        <is>
          <t>担心、放心不下</t>
        </is>
      </c>
      <c r="E331" s="8">
        <f>IFERROR(__xludf.DUMMYFUNCTION("GOOGLETRANSLATE(B331, ""zh"", ""vi"")"),"bận tâm")</f>
        <v/>
      </c>
      <c r="F331" s="14" t="inlineStr">
        <is>
          <t>我没有顾虑</t>
        </is>
      </c>
      <c r="H331" s="9">
        <f>G331=B331</f>
        <v/>
      </c>
    </row>
    <row r="332">
      <c r="A332" s="8" t="inlineStr">
        <is>
          <t>bài 7</t>
        </is>
      </c>
      <c r="B332" s="6" t="inlineStr">
        <is>
          <t>过度</t>
        </is>
      </c>
      <c r="C332" s="8">
        <f>pinyin(B332)</f>
        <v/>
      </c>
      <c r="D332" s="8" t="inlineStr">
        <is>
          <t>太多</t>
        </is>
      </c>
      <c r="E332" s="8" t="inlineStr">
        <is>
          <t>quá mức</t>
        </is>
      </c>
      <c r="F332" s="14" t="n"/>
      <c r="H332" s="9">
        <f>G332=B332</f>
        <v/>
      </c>
    </row>
    <row r="333">
      <c r="A333" s="8" t="inlineStr">
        <is>
          <t>bài 7</t>
        </is>
      </c>
      <c r="B333" s="6" t="inlineStr">
        <is>
          <t>致使</t>
        </is>
      </c>
      <c r="C333" s="8">
        <f>pinyin(B333)</f>
        <v/>
      </c>
      <c r="D333" s="8" t="inlineStr">
        <is>
          <t>导致（多指不好的结果）</t>
        </is>
      </c>
      <c r="E333" s="8">
        <f>IFERROR(__xludf.DUMMYFUNCTION("GOOGLETRANSLATE(B333, ""zh"", ""vi"")"),"Gây ra")</f>
        <v/>
      </c>
      <c r="F333" s="14" t="inlineStr">
        <is>
          <t>他的粗心致使实验失败</t>
        </is>
      </c>
      <c r="H333" s="9">
        <f>G333=B333</f>
        <v/>
      </c>
    </row>
    <row r="334">
      <c r="A334" s="8" t="inlineStr">
        <is>
          <t>bài 7</t>
        </is>
      </c>
      <c r="B334" s="6" t="inlineStr">
        <is>
          <t>终身</t>
        </is>
      </c>
      <c r="C334" s="8">
        <f>pinyin(B334)</f>
        <v/>
      </c>
      <c r="D334" s="8" t="inlineStr">
        <is>
          <t>一辈子</t>
        </is>
      </c>
      <c r="E334" s="8">
        <f>IFERROR(__xludf.DUMMYFUNCTION("GOOGLETRANSLATE(B334, ""zh"", ""vi"")"),"suốt đời")</f>
        <v/>
      </c>
      <c r="F334" s="14" t="inlineStr">
        <is>
          <t>这是我终身难忘的事</t>
        </is>
      </c>
      <c r="H334" s="9">
        <f>G334=B334</f>
        <v/>
      </c>
    </row>
    <row r="335">
      <c r="A335" s="8" t="inlineStr">
        <is>
          <t>bài 7</t>
        </is>
      </c>
      <c r="B335" s="6" t="inlineStr">
        <is>
          <t>悔恨</t>
        </is>
      </c>
      <c r="C335" s="8">
        <f>pinyin(B335)</f>
        <v/>
      </c>
      <c r="D335" s="8" t="inlineStr">
        <is>
          <t>非常后悔到恨自己</t>
        </is>
      </c>
      <c r="E335" s="8">
        <f>IFERROR(__xludf.DUMMYFUNCTION("GOOGLETRANSLATE(B335, ""zh"", ""vi"")"),"hối hận")</f>
        <v/>
      </c>
      <c r="F335" s="14" t="inlineStr">
        <is>
          <t>他非常悔恨自己的决定</t>
        </is>
      </c>
      <c r="H335" s="9">
        <f>G335=B335</f>
        <v/>
      </c>
    </row>
    <row r="336">
      <c r="A336" s="8" t="inlineStr">
        <is>
          <t>bài 7</t>
        </is>
      </c>
      <c r="B336" s="6" t="inlineStr">
        <is>
          <t>类似</t>
        </is>
      </c>
      <c r="C336" s="8">
        <f>pinyin(B336)</f>
        <v/>
      </c>
      <c r="D336" s="8" t="inlineStr">
        <is>
          <t>差不多、相像</t>
        </is>
      </c>
      <c r="E336" s="8">
        <f>IFERROR(__xludf.DUMMYFUNCTION("GOOGLETRANSLATE(B336, ""zh"", ""vi"")"),"tương tự")</f>
        <v/>
      </c>
      <c r="F336" s="14" t="inlineStr">
        <is>
          <t>这两种情况很类似</t>
        </is>
      </c>
      <c r="H336" s="9">
        <f>G336=B336</f>
        <v/>
      </c>
    </row>
    <row r="337">
      <c r="A337" s="8" t="inlineStr">
        <is>
          <t>bài 7</t>
        </is>
      </c>
      <c r="B337" s="6" t="inlineStr">
        <is>
          <t>精确</t>
        </is>
      </c>
      <c r="C337" s="8">
        <f>pinyin(B337)</f>
        <v/>
      </c>
      <c r="D337" s="8" t="inlineStr">
        <is>
          <t>非常准确</t>
        </is>
      </c>
      <c r="E337" s="8">
        <f>IFERROR(__xludf.DUMMYFUNCTION("GOOGLETRANSLATE(B337, ""zh"", ""vi"")"),"chính xác")</f>
        <v/>
      </c>
      <c r="F337" s="14" t="inlineStr">
        <is>
          <t>他的计算非常精确</t>
        </is>
      </c>
      <c r="H337" s="9">
        <f>G337=B337</f>
        <v/>
      </c>
    </row>
    <row r="338">
      <c r="A338" s="8" t="inlineStr">
        <is>
          <t>bài 7</t>
        </is>
      </c>
      <c r="B338" s="6" t="inlineStr">
        <is>
          <t>伴随</t>
        </is>
      </c>
      <c r="C338" s="8">
        <f>pinyin(B338)</f>
        <v/>
      </c>
      <c r="D338" s="8" t="inlineStr">
        <is>
          <t>跟着一起出现</t>
        </is>
      </c>
      <c r="E338" s="8">
        <f>IFERROR(__xludf.DUMMYFUNCTION("GOOGLETRANSLATE(B338, ""zh"", ""vi"")"),"Đi kèm")</f>
        <v/>
      </c>
      <c r="F338" s="14" t="inlineStr">
        <is>
          <t>成功常常伴随失败</t>
        </is>
      </c>
      <c r="H338" s="9">
        <f>G338=B338</f>
        <v/>
      </c>
    </row>
    <row r="339">
      <c r="A339" s="8" t="inlineStr">
        <is>
          <t>bài 7</t>
        </is>
      </c>
      <c r="B339" s="6" t="inlineStr">
        <is>
          <t>日益</t>
        </is>
      </c>
      <c r="C339" s="9">
        <f>pinyin(B339)</f>
        <v/>
      </c>
      <c r="D339" s="8" t="inlineStr">
        <is>
          <t>一天比一天更……</t>
        </is>
      </c>
      <c r="E339" s="8">
        <f>IFERROR(__xludf.DUMMYFUNCTION("GOOGLETRANSLATE(B339, ""zh"", ""vi"")"),"ngày càng")</f>
        <v/>
      </c>
      <c r="F339" s="14" t="inlineStr">
        <is>
          <t>空气污染日益严重</t>
        </is>
      </c>
      <c r="H339" s="9">
        <f>G339=B339</f>
        <v/>
      </c>
    </row>
    <row r="340">
      <c r="A340" s="18" t="inlineStr">
        <is>
          <t>bài 7</t>
        </is>
      </c>
      <c r="B340" s="16" t="inlineStr">
        <is>
          <t>运行</t>
        </is>
      </c>
      <c r="C340" s="17">
        <f>pinyin(B340)</f>
        <v/>
      </c>
      <c r="D340" s="18" t="inlineStr">
        <is>
          <t>机器或系统的正常工作， 动</t>
        </is>
      </c>
      <c r="E340" s="18">
        <f>IFERROR(__xludf.DUMMYFUNCTION("GOOGLETRANSLATE(B340, ""zh"", ""vi"")"),"chạy")</f>
        <v/>
      </c>
      <c r="F340" s="14" t="inlineStr">
        <is>
          <t>机器运行正常</t>
        </is>
      </c>
      <c r="G340" s="18" t="n"/>
      <c r="H340" s="19">
        <f>G340=B340</f>
        <v/>
      </c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>
      <c r="A341" s="18" t="inlineStr">
        <is>
          <t>bài 7</t>
        </is>
      </c>
      <c r="B341" s="20" t="inlineStr">
        <is>
          <t>裁员</t>
        </is>
      </c>
      <c r="C341" s="17">
        <f>pinyin(B341)</f>
        <v/>
      </c>
      <c r="D341" s="18" t="inlineStr">
        <is>
          <t>公司减少员工</t>
        </is>
      </c>
      <c r="E341" s="18">
        <f>IFERROR(__xludf.DUMMYFUNCTION("GOOGLETRANSLATE(B341, ""zh"", ""vi"")"),"sa thải")</f>
        <v/>
      </c>
      <c r="F341" s="14" t="inlineStr">
        <is>
          <t>经济不好，很多工厂在裁员</t>
        </is>
      </c>
      <c r="G341" s="18" t="n"/>
      <c r="H341" s="19">
        <f>G341=B341</f>
        <v/>
      </c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>
      <c r="A342" s="18" t="inlineStr">
        <is>
          <t>bài 7</t>
        </is>
      </c>
      <c r="B342" s="20" t="inlineStr">
        <is>
          <t>意味着</t>
        </is>
      </c>
      <c r="C342" s="17">
        <f>pinyin(B342)</f>
        <v/>
      </c>
      <c r="D342" s="18" t="inlineStr">
        <is>
          <t>某个事情的背后有一个神的意思</t>
        </is>
      </c>
      <c r="E342" s="18">
        <f>IFERROR(__xludf.DUMMYFUNCTION("GOOGLETRANSLATE(B342, ""zh"", ""vi"")"),"nghĩa là")</f>
        <v/>
      </c>
      <c r="F342" s="14" t="inlineStr">
        <is>
          <t>这意味着我们必须努力</t>
        </is>
      </c>
      <c r="G342" s="18" t="n"/>
      <c r="H342" s="19">
        <f>G342=B342</f>
        <v/>
      </c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>
      <c r="A343" s="18" t="inlineStr">
        <is>
          <t>bài 7</t>
        </is>
      </c>
      <c r="B343" s="20" t="inlineStr">
        <is>
          <t>英明</t>
        </is>
      </c>
      <c r="C343" s="17">
        <f>pinyin(B343)</f>
        <v/>
      </c>
      <c r="D343" s="18" t="inlineStr">
        <is>
          <t>聪明有远见</t>
        </is>
      </c>
      <c r="E343" s="18" t="inlineStr">
        <is>
          <t>sáng suốt</t>
        </is>
      </c>
      <c r="F343" s="14" t="inlineStr">
        <is>
          <t>这是一个英明的决定</t>
        </is>
      </c>
      <c r="G343" s="18" t="n"/>
      <c r="H343" s="19">
        <f>G343=B343</f>
        <v/>
      </c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>
      <c r="A344" s="18" t="inlineStr">
        <is>
          <t>bài 7</t>
        </is>
      </c>
      <c r="B344" s="20" t="inlineStr">
        <is>
          <t xml:space="preserve">称心如意  
</t>
        </is>
      </c>
      <c r="C344" s="17">
        <f>pinyin(B344)</f>
        <v/>
      </c>
      <c r="D344" s="18" t="inlineStr">
        <is>
          <t>非常满意，完全符合心意</t>
        </is>
      </c>
      <c r="E344" s="18">
        <f>IFERROR(__xludf.DUMMYFUNCTION("GOOGLETRANSLATE(B344, ""zh"", ""vi"")"),"Mọi việc sẽ diễn ra theo ý muốn của bạn.")</f>
        <v/>
      </c>
      <c r="F344" s="14" t="inlineStr">
        <is>
          <t>他终于找到称心如意的工作</t>
        </is>
      </c>
      <c r="G344" s="18" t="n"/>
      <c r="H344" s="19">
        <f>G344=B344</f>
        <v/>
      </c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>
      <c r="A345" s="18" t="inlineStr">
        <is>
          <t>bài 7</t>
        </is>
      </c>
      <c r="B345" s="20" t="inlineStr">
        <is>
          <t>除</t>
        </is>
      </c>
      <c r="C345" s="17">
        <f>pinyin(B345)</f>
        <v/>
      </c>
      <c r="D345" s="18" t="inlineStr">
        <is>
          <t>除了……以外, 把。。。放在方边</t>
        </is>
      </c>
      <c r="E345" s="18" t="inlineStr">
        <is>
          <t>ngoài ra, phép chia</t>
        </is>
      </c>
      <c r="F345" s="14" t="inlineStr">
        <is>
          <t>除他以外，大家都去了</t>
        </is>
      </c>
      <c r="G345" s="18" t="n"/>
      <c r="H345" s="19">
        <f>G345=B345</f>
        <v/>
      </c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>
      <c r="A346" s="8" t="inlineStr">
        <is>
          <t>bài 7</t>
        </is>
      </c>
      <c r="B346" s="6" t="inlineStr">
        <is>
          <t>热门</t>
        </is>
      </c>
      <c r="C346" s="8">
        <f>pinyin(B346)</f>
        <v/>
      </c>
      <c r="D346" s="8" t="inlineStr">
        <is>
          <t>很受欢迎、很火</t>
        </is>
      </c>
      <c r="E346" s="8">
        <f>IFERROR(__xludf.DUMMYFUNCTION("GOOGLETRANSLATE(B346, ""zh"", ""vi"")"),"Phổ biến")</f>
        <v/>
      </c>
      <c r="F346" s="14" t="inlineStr">
        <is>
          <t>这部电影很热门</t>
        </is>
      </c>
      <c r="H346" s="9">
        <f>G346=B346</f>
        <v/>
      </c>
    </row>
    <row r="347">
      <c r="A347" s="8" t="inlineStr">
        <is>
          <t>bài 7</t>
        </is>
      </c>
      <c r="B347" s="6" t="inlineStr">
        <is>
          <t>以致</t>
        </is>
      </c>
      <c r="C347" s="8">
        <f>pinyin(B347)</f>
        <v/>
      </c>
      <c r="D347" s="8" t="inlineStr">
        <is>
          <t>导致（多指不好的结果）</t>
        </is>
      </c>
      <c r="E347" s="8">
        <f>IFERROR(__xludf.DUMMYFUNCTION("GOOGLETRANSLATE(B347, ""zh"", ""vi"")"),"Vì vậy,")</f>
        <v/>
      </c>
      <c r="F347" s="14" t="inlineStr">
        <is>
          <t>他太累了，以致生病了</t>
        </is>
      </c>
      <c r="H347" s="9">
        <f>G347=B347</f>
        <v/>
      </c>
    </row>
    <row r="348">
      <c r="A348" s="8" t="inlineStr">
        <is>
          <t>bài 7</t>
        </is>
      </c>
      <c r="B348" s="6" t="inlineStr">
        <is>
          <t>饱和</t>
        </is>
      </c>
      <c r="C348" s="8">
        <f>pinyin(B348)</f>
        <v/>
      </c>
      <c r="D348" s="8" t="inlineStr">
        <is>
          <t>已经满了，不能再增加</t>
        </is>
      </c>
      <c r="E348" s="8">
        <f>IFERROR(__xludf.DUMMYFUNCTION("GOOGLETRANSLATE(B348, ""zh"", ""vi"")"),"độ bão hòa")</f>
        <v/>
      </c>
      <c r="F348" s="14" t="inlineStr">
        <is>
          <t>这个市场已经饱和</t>
        </is>
      </c>
      <c r="H348" s="9">
        <f>G348=B348</f>
        <v/>
      </c>
    </row>
    <row r="349">
      <c r="A349" s="8" t="inlineStr">
        <is>
          <t>bài 7</t>
        </is>
      </c>
      <c r="B349" s="6" t="inlineStr">
        <is>
          <t>就业</t>
        </is>
      </c>
      <c r="C349" s="8">
        <f>pinyin(B349)</f>
        <v/>
      </c>
      <c r="D349" s="8" t="inlineStr">
        <is>
          <t>找到工作</t>
        </is>
      </c>
      <c r="E349" s="8">
        <f>IFERROR(__xludf.DUMMYFUNCTION("GOOGLETRANSLATE(B349, ""zh"", ""vi"")"),"Thuê người làm")</f>
        <v/>
      </c>
      <c r="F349" s="14" t="inlineStr">
        <is>
          <t>他今年顺利就业了</t>
        </is>
      </c>
      <c r="H349" s="9">
        <f>G349=B349</f>
        <v/>
      </c>
    </row>
    <row r="350">
      <c r="A350" s="8" t="inlineStr">
        <is>
          <t>bài 7</t>
        </is>
      </c>
      <c r="B350" s="6" t="inlineStr">
        <is>
          <t>及早</t>
        </is>
      </c>
      <c r="C350" s="8">
        <f>pinyin(B350)</f>
        <v/>
      </c>
      <c r="D350" s="8" t="inlineStr">
        <is>
          <t>尽早、早一点, 先做赶快</t>
        </is>
      </c>
      <c r="E350" s="8">
        <f>IFERROR(__xludf.DUMMYFUNCTION("GOOGLETRANSLATE(B350, ""zh"", ""vi"")"),"càng sớm càng tốt")</f>
        <v/>
      </c>
      <c r="F350" s="14" t="inlineStr">
        <is>
          <t>我们应该及早准备</t>
        </is>
      </c>
      <c r="H350" s="9">
        <f>G350=B350</f>
        <v/>
      </c>
    </row>
    <row r="351">
      <c r="A351" s="8" t="inlineStr">
        <is>
          <t>bài 7</t>
        </is>
      </c>
      <c r="B351" s="6" t="inlineStr">
        <is>
          <t>机遇</t>
        </is>
      </c>
      <c r="C351" s="8">
        <f>pinyin(B351)</f>
        <v/>
      </c>
      <c r="D351" s="8" t="inlineStr">
        <is>
          <t>很难有好机会， 很难得</t>
        </is>
      </c>
      <c r="E351" s="8">
        <f>IFERROR(__xludf.DUMMYFUNCTION("GOOGLETRANSLATE(B351, ""zh"", ""vi"")"),"cơ hội")</f>
        <v/>
      </c>
      <c r="F351" s="14" t="inlineStr">
        <is>
          <t>抓住机遇很重要</t>
        </is>
      </c>
      <c r="H351" s="9">
        <f>G351=B351</f>
        <v/>
      </c>
    </row>
    <row r="352">
      <c r="A352" s="8" t="inlineStr">
        <is>
          <t>bài 7</t>
        </is>
      </c>
      <c r="B352" s="6" t="inlineStr">
        <is>
          <t>并非</t>
        </is>
      </c>
      <c r="C352" s="8">
        <f>pinyin(B352)</f>
        <v/>
      </c>
      <c r="D352" s="8" t="inlineStr">
        <is>
          <t>并不是</t>
        </is>
      </c>
      <c r="E352" s="8" t="inlineStr">
        <is>
          <t>khoông phải</t>
        </is>
      </c>
      <c r="F352" s="14" t="inlineStr">
        <is>
          <t>他并非不想帮忙</t>
        </is>
      </c>
      <c r="H352" s="9">
        <f>G352=B352</f>
        <v/>
      </c>
    </row>
    <row r="353">
      <c r="A353" s="8" t="inlineStr">
        <is>
          <t>bài 7</t>
        </is>
      </c>
      <c r="B353" s="6" t="inlineStr">
        <is>
          <t>心灵</t>
        </is>
      </c>
      <c r="C353" s="8">
        <f>pinyin(B353)</f>
        <v/>
      </c>
      <c r="D353" s="8" t="inlineStr">
        <is>
          <t>内心,情神，想法</t>
        </is>
      </c>
      <c r="E353" s="8" t="inlineStr">
        <is>
          <t>taâm hồn</t>
        </is>
      </c>
      <c r="F353" s="14" t="inlineStr">
        <is>
          <t>音乐能净化心灵</t>
        </is>
      </c>
      <c r="H353" s="9">
        <f>G353=B353</f>
        <v/>
      </c>
    </row>
    <row r="354">
      <c r="A354" s="8" t="inlineStr">
        <is>
          <t>bài 7</t>
        </is>
      </c>
      <c r="B354" s="6" t="inlineStr">
        <is>
          <t>免疫</t>
        </is>
      </c>
      <c r="C354" s="8">
        <f>pinyin(B354)</f>
        <v/>
      </c>
      <c r="D354" s="8" t="inlineStr">
        <is>
          <t>抵抗力</t>
        </is>
      </c>
      <c r="E354" s="8">
        <f>IFERROR(__xludf.DUMMYFUNCTION("GOOGLETRANSLATE(B354, ""zh"", ""vi"")"),"miễn dịch")</f>
        <v/>
      </c>
      <c r="F354" s="14" t="inlineStr">
        <is>
          <t>锻炼能提高免疫力</t>
        </is>
      </c>
      <c r="H354" s="9">
        <f>G354=B354</f>
        <v/>
      </c>
    </row>
    <row r="355">
      <c r="A355" s="8" t="inlineStr">
        <is>
          <t>bài 7</t>
        </is>
      </c>
      <c r="B355" s="6" t="inlineStr">
        <is>
          <t>决策</t>
        </is>
      </c>
      <c r="C355" s="8">
        <f>pinyin(B355)</f>
        <v/>
      </c>
      <c r="D355" s="8" t="inlineStr">
        <is>
          <t>做出决定, 更重要</t>
        </is>
      </c>
      <c r="E355" s="8">
        <f>IFERROR(__xludf.DUMMYFUNCTION("GOOGLETRANSLATE(B355, ""zh"", ""vi"")"),"ra quyết định")</f>
        <v/>
      </c>
      <c r="F355" s="14" t="inlineStr">
        <is>
          <t>领导决策很正确</t>
        </is>
      </c>
      <c r="H355" s="9">
        <f>G355=B355</f>
        <v/>
      </c>
    </row>
    <row r="356">
      <c r="A356" s="8" t="inlineStr">
        <is>
          <t>bài 7</t>
        </is>
      </c>
      <c r="B356" s="6" t="inlineStr">
        <is>
          <t>争先恐后</t>
        </is>
      </c>
      <c r="C356" s="8">
        <f>pinyin(B356)</f>
        <v/>
      </c>
      <c r="D356" s="8" t="inlineStr">
        <is>
          <t>争着向前，怕落后</t>
        </is>
      </c>
      <c r="E356" s="8">
        <f>IFERROR(__xludf.DUMMYFUNCTION("GOOGLETRANSLATE(B356, ""zh"", ""vi"")"),"vội vàng để trở thành người đầu tiên")</f>
        <v/>
      </c>
      <c r="F356" s="14" t="inlineStr">
        <is>
          <t>大家争先恐后报名</t>
        </is>
      </c>
      <c r="H356" s="9">
        <f>G356=B356</f>
        <v/>
      </c>
    </row>
    <row r="357">
      <c r="A357" s="8" t="inlineStr">
        <is>
          <t>bài 8</t>
        </is>
      </c>
      <c r="B357" s="6" t="inlineStr">
        <is>
          <t>婴儿</t>
        </is>
      </c>
      <c r="C357" s="8">
        <f>pinyin(B357)</f>
        <v/>
      </c>
      <c r="D357" s="8" t="inlineStr">
        <is>
          <t>刚出生的孩子</t>
        </is>
      </c>
      <c r="E357" s="8">
        <f>IFERROR(__xludf.DUMMYFUNCTION("GOOGLETRANSLATE(B357, ""zh"", ""vi"")"),"Đứa bé")</f>
        <v/>
      </c>
      <c r="F357" s="14" t="inlineStr">
        <is>
          <t>这个婴儿刚出生三天。</t>
        </is>
      </c>
      <c r="H357" s="9">
        <f>G357=B357</f>
        <v/>
      </c>
    </row>
    <row r="358">
      <c r="A358" s="8" t="inlineStr">
        <is>
          <t>bài 8</t>
        </is>
      </c>
      <c r="B358" s="6" t="inlineStr">
        <is>
          <t>翻天覆地</t>
        </is>
      </c>
      <c r="C358" s="8">
        <f>pinyin(B358)</f>
        <v/>
      </c>
      <c r="D358" s="8" t="inlineStr">
        <is>
          <t>变化非常大</t>
        </is>
      </c>
      <c r="E358" s="8">
        <f>IFERROR(__xludf.DUMMYFUNCTION("GOOGLETRANSLATE(B358, ""zh"", ""vi"")"),"sự biến động")</f>
        <v/>
      </c>
      <c r="F358" s="14" t="inlineStr">
        <is>
          <t>他的生活最近发生了翻天覆地的变化。</t>
        </is>
      </c>
      <c r="H358" s="9">
        <f>G358=B358</f>
        <v/>
      </c>
    </row>
    <row r="359">
      <c r="A359" s="8" t="inlineStr">
        <is>
          <t>bài 8</t>
        </is>
      </c>
      <c r="B359" s="6" t="inlineStr">
        <is>
          <t>更新</t>
        </is>
      </c>
      <c r="C359" s="8">
        <f>pinyin(B359)</f>
        <v/>
      </c>
      <c r="D359" s="8" t="inlineStr">
        <is>
          <t>变成新的</t>
        </is>
      </c>
      <c r="E359" s="8">
        <f>IFERROR(__xludf.DUMMYFUNCTION("GOOGLETRANSLATE(B359, ""zh"", ""vi"")"),"gia hạn")</f>
        <v/>
      </c>
      <c r="F359" s="14" t="inlineStr">
        <is>
          <t>这本书的内容已经更新了。</t>
        </is>
      </c>
      <c r="H359" s="9">
        <f>G359=B359</f>
        <v/>
      </c>
    </row>
    <row r="360">
      <c r="A360" s="8" t="inlineStr">
        <is>
          <t>bài 8</t>
        </is>
      </c>
      <c r="B360" s="6" t="inlineStr">
        <is>
          <t>酒窝</t>
        </is>
      </c>
      <c r="C360" s="8">
        <f>pinyin(B360)</f>
        <v/>
      </c>
      <c r="D360" s="8" t="inlineStr">
        <is>
          <t>笑的时候脸上的小坑</t>
        </is>
      </c>
      <c r="E360" s="8">
        <f>IFERROR(__xludf.DUMMYFUNCTION("GOOGLETRANSLATE(B360, ""zh"", ""vi"")"),"lúm đồng tiền")</f>
        <v/>
      </c>
      <c r="F360" s="14" t="inlineStr">
        <is>
          <t>小女孩脸上有两个可爱的酒窝。</t>
        </is>
      </c>
      <c r="H360" s="9">
        <f>G360=B360</f>
        <v/>
      </c>
    </row>
    <row r="361">
      <c r="A361" s="8" t="inlineStr">
        <is>
          <t>bài 8</t>
        </is>
      </c>
      <c r="B361" s="6" t="inlineStr">
        <is>
          <t>蹦</t>
        </is>
      </c>
      <c r="C361" s="8">
        <f>pinyin(B361)</f>
        <v/>
      </c>
      <c r="D361" s="8" t="inlineStr">
        <is>
          <t>跳起来</t>
        </is>
      </c>
      <c r="E361" s="8">
        <f>IFERROR(__xludf.DUMMYFUNCTION("GOOGLETRANSLATE(B361, ""zh"", ""vi"")"),"nhảy")</f>
        <v/>
      </c>
      <c r="F361" s="14" t="inlineStr">
        <is>
          <t>他高兴得蹦了起来。</t>
        </is>
      </c>
      <c r="H361" s="9">
        <f>G361=B361</f>
        <v/>
      </c>
    </row>
    <row r="362">
      <c r="A362" s="8" t="inlineStr">
        <is>
          <t>bài 8</t>
        </is>
      </c>
      <c r="B362" s="6" t="inlineStr">
        <is>
          <t>疤</t>
        </is>
      </c>
      <c r="C362" s="8">
        <f>pinyin(B362)</f>
        <v/>
      </c>
      <c r="D362" s="8" t="inlineStr">
        <is>
          <t>伤口好了以后留下的痕迹</t>
        </is>
      </c>
      <c r="E362" s="8">
        <f>IFERROR(__xludf.DUMMYFUNCTION("GOOGLETRANSLATE(B362, ""zh"", ""vi"")"),"vết sẹo")</f>
        <v/>
      </c>
      <c r="F362" s="14" t="inlineStr">
        <is>
          <t>那次事故在他手上留下一道疤。</t>
        </is>
      </c>
      <c r="H362" s="9">
        <f>G362=B362</f>
        <v/>
      </c>
    </row>
    <row r="363">
      <c r="A363" s="8" t="inlineStr">
        <is>
          <t>bài 8</t>
        </is>
      </c>
      <c r="B363" s="6" t="inlineStr">
        <is>
          <t>跌</t>
        </is>
      </c>
      <c r="C363" s="8">
        <f>pinyin(B363)</f>
        <v/>
      </c>
      <c r="D363" s="8" t="inlineStr">
        <is>
          <t>变宜了，摔倒</t>
        </is>
      </c>
      <c r="E363" s="8">
        <f>IFERROR(__xludf.DUMMYFUNCTION("GOOGLETRANSLATE(B363, ""zh"", ""vi"")"),"ngã")</f>
        <v/>
      </c>
      <c r="F363" s="14" t="inlineStr">
        <is>
          <t>小心别跌倒了。</t>
        </is>
      </c>
      <c r="H363" s="9">
        <f>G363=B363</f>
        <v/>
      </c>
    </row>
    <row r="364">
      <c r="A364" s="8" t="inlineStr">
        <is>
          <t>bài 8</t>
        </is>
      </c>
      <c r="B364" s="6" t="inlineStr">
        <is>
          <t>掩盖</t>
        </is>
      </c>
      <c r="C364" s="8">
        <f>pinyin(B364)</f>
        <v/>
      </c>
      <c r="D364" s="8" t="inlineStr">
        <is>
          <t>把事情藏起来，不让人看见</t>
        </is>
      </c>
      <c r="E364" s="8">
        <f>IFERROR(__xludf.DUMMYFUNCTION("GOOGLETRANSLATE(B364, ""zh"", ""vi"")"),"che phủ")</f>
        <v/>
      </c>
      <c r="F364" s="14" t="inlineStr">
        <is>
          <t>云掩盖了太阳。</t>
        </is>
      </c>
      <c r="H364" s="9">
        <f>G364=B364</f>
        <v/>
      </c>
    </row>
    <row r="365">
      <c r="A365" s="8" t="inlineStr">
        <is>
          <t>bài 8</t>
        </is>
      </c>
      <c r="B365" s="6" t="inlineStr">
        <is>
          <t xml:space="preserve">大脑 
</t>
        </is>
      </c>
      <c r="C365" s="8">
        <f>pinyin(B365)</f>
        <v/>
      </c>
      <c r="D365" s="8" t="inlineStr">
        <is>
          <t>人思考的器官， 书面字</t>
        </is>
      </c>
      <c r="E365" s="8">
        <f>IFERROR(__xludf.DUMMYFUNCTION("GOOGLETRANSLATE(B365, ""zh"", ""vi"")"),"Não")</f>
        <v/>
      </c>
      <c r="F365" s="14" t="inlineStr">
        <is>
          <t>他的大脑很聪明。</t>
        </is>
      </c>
      <c r="H365" s="9">
        <f>G365=B365</f>
        <v/>
      </c>
    </row>
    <row r="366">
      <c r="A366" s="8" t="inlineStr">
        <is>
          <t>bài 8</t>
        </is>
      </c>
      <c r="B366" s="6" t="inlineStr">
        <is>
          <t>确信</t>
        </is>
      </c>
      <c r="C366" s="8">
        <f>pinyin(B366)</f>
        <v/>
      </c>
      <c r="D366" s="8" t="inlineStr">
        <is>
          <t>非常相信, 一点也不怀疑</t>
        </is>
      </c>
      <c r="E366" s="8" t="inlineStr">
        <is>
          <t>tin chắc rằng</t>
        </is>
      </c>
      <c r="F366" s="14" t="inlineStr">
        <is>
          <t>他确信这个决定是对的。</t>
        </is>
      </c>
      <c r="H366" s="9">
        <f>G366=B366</f>
        <v/>
      </c>
    </row>
    <row r="367">
      <c r="A367" s="8" t="inlineStr">
        <is>
          <t>bài 8</t>
        </is>
      </c>
      <c r="B367" s="6" t="inlineStr">
        <is>
          <t>比喻</t>
        </is>
      </c>
      <c r="C367" s="8">
        <f>pinyin(B367)</f>
        <v/>
      </c>
      <c r="D367" s="8" t="inlineStr">
        <is>
          <t>用一个东西来说明另一个东西</t>
        </is>
      </c>
      <c r="E367" s="8" t="inlineStr">
        <is>
          <t>ví dụ, ví như</t>
        </is>
      </c>
      <c r="F367" s="14" t="inlineStr">
        <is>
          <t>把爱情比喻成玫瑰。</t>
        </is>
      </c>
      <c r="H367" s="9">
        <f>G367=B367</f>
        <v/>
      </c>
    </row>
    <row r="368">
      <c r="A368" s="8" t="inlineStr">
        <is>
          <t>bài 8</t>
        </is>
      </c>
      <c r="B368" s="6" t="inlineStr">
        <is>
          <t>呈现</t>
        </is>
      </c>
      <c r="C368" s="8">
        <f>pinyin(B368)</f>
        <v/>
      </c>
      <c r="D368" s="8" t="inlineStr">
        <is>
          <t>显露出来</t>
        </is>
      </c>
      <c r="E368" s="8" t="inlineStr">
        <is>
          <t>thể hiện</t>
        </is>
      </c>
      <c r="F368" s="14" t="inlineStr">
        <is>
          <t>画面呈现出温暖的颜色。</t>
        </is>
      </c>
      <c r="H368" s="9">
        <f>G368=B368</f>
        <v/>
      </c>
    </row>
    <row r="369">
      <c r="A369" s="8" t="inlineStr">
        <is>
          <t>bài 8</t>
        </is>
      </c>
      <c r="B369" s="6" t="inlineStr">
        <is>
          <t>固有</t>
        </is>
      </c>
      <c r="C369" s="8">
        <f>pinyin(B369)</f>
        <v/>
      </c>
      <c r="D369" s="8" t="inlineStr">
        <is>
          <t>本来就有的</t>
        </is>
      </c>
      <c r="E369" s="8">
        <f>IFERROR(__xludf.DUMMYFUNCTION("GOOGLETRANSLATE(B369, ""zh"", ""vi"")"),"vốn có")</f>
        <v/>
      </c>
      <c r="F369" s="14" t="inlineStr">
        <is>
          <t>这是人类固有的本能。</t>
        </is>
      </c>
      <c r="H369" s="9">
        <f>G369=B369</f>
        <v/>
      </c>
    </row>
    <row r="370">
      <c r="A370" s="8" t="inlineStr">
        <is>
          <t>bài 8</t>
        </is>
      </c>
      <c r="B370" s="6" t="inlineStr">
        <is>
          <t>阐述</t>
        </is>
      </c>
      <c r="C370" s="8">
        <f>pinyin(B370)</f>
        <v/>
      </c>
      <c r="D370" s="8" t="inlineStr">
        <is>
          <t>详细说明</t>
        </is>
      </c>
      <c r="E370" s="8" t="inlineStr">
        <is>
          <t>trình bày</t>
        </is>
      </c>
      <c r="F370" s="14" t="inlineStr">
        <is>
          <t>老师详细阐述了这个理论。</t>
        </is>
      </c>
      <c r="H370" s="9">
        <f>G370=B370</f>
        <v/>
      </c>
    </row>
    <row r="371">
      <c r="A371" s="8" t="inlineStr">
        <is>
          <t>bài 8</t>
        </is>
      </c>
      <c r="B371" s="6" t="inlineStr">
        <is>
          <t>陈述</t>
        </is>
      </c>
      <c r="C371" s="8">
        <f>pinyin(B371)</f>
        <v/>
      </c>
      <c r="D371" s="8" t="inlineStr">
        <is>
          <t>清楚地说明</t>
        </is>
      </c>
      <c r="E371" s="8">
        <f>IFERROR(__xludf.DUMMYFUNCTION("GOOGLETRANSLATE(B371, ""zh"", ""vi"")"),"tuyên bố")</f>
        <v/>
      </c>
      <c r="F371" s="21" t="n"/>
      <c r="H371" s="9">
        <f>G371=B371</f>
        <v/>
      </c>
    </row>
    <row r="372">
      <c r="A372" s="8" t="inlineStr">
        <is>
          <t>bài 8</t>
        </is>
      </c>
      <c r="B372" s="6" t="inlineStr">
        <is>
          <t>见解</t>
        </is>
      </c>
      <c r="C372" s="8">
        <f>pinyin(B372)</f>
        <v/>
      </c>
      <c r="D372" s="8" t="inlineStr">
        <is>
          <t>想法</t>
        </is>
      </c>
      <c r="E372" s="8">
        <f>IFERROR(__xludf.DUMMYFUNCTION("GOOGLETRANSLATE(B372, ""zh"", ""vi"")"),"ý kiến")</f>
        <v/>
      </c>
      <c r="F372" s="14" t="inlineStr">
        <is>
          <t>他对这个问题有独特的见解。</t>
        </is>
      </c>
      <c r="H372" s="9">
        <f>G372=B372</f>
        <v/>
      </c>
    </row>
    <row r="373">
      <c r="A373" s="8" t="inlineStr">
        <is>
          <t>bài 8</t>
        </is>
      </c>
      <c r="B373" s="6" t="inlineStr">
        <is>
          <t>演变</t>
        </is>
      </c>
      <c r="C373" s="8">
        <f>pinyin(B373)</f>
        <v/>
      </c>
      <c r="D373" s="8" t="inlineStr">
        <is>
          <t>慢慢变化和发展</t>
        </is>
      </c>
      <c r="E373" s="8">
        <f>IFERROR(__xludf.DUMMYFUNCTION("GOOGLETRANSLATE(B373, ""zh"", ""vi"")"),"Sự tiến hóa")</f>
        <v/>
      </c>
      <c r="F373" s="14" t="inlineStr">
        <is>
          <t>科技正在快速演变。</t>
        </is>
      </c>
      <c r="H373" s="9">
        <f>G373=B373</f>
        <v/>
      </c>
    </row>
    <row r="374">
      <c r="A374" s="8" t="inlineStr">
        <is>
          <t>bài 8</t>
        </is>
      </c>
      <c r="B374" s="6" t="inlineStr">
        <is>
          <t>推测</t>
        </is>
      </c>
      <c r="C374" s="8">
        <f>pinyin(B374)</f>
        <v/>
      </c>
      <c r="D374" s="8" t="inlineStr">
        <is>
          <t>根据情况猜想</t>
        </is>
      </c>
      <c r="E374" s="8">
        <f>IFERROR(__xludf.DUMMYFUNCTION("GOOGLETRANSLATE(B374, ""zh"", ""vi"")"),"suy đoán")</f>
        <v/>
      </c>
      <c r="F374" s="14" t="inlineStr">
        <is>
          <t>专家推测明天会下雨。</t>
        </is>
      </c>
      <c r="H374" s="9">
        <f>G374=B374</f>
        <v/>
      </c>
    </row>
    <row r="375">
      <c r="A375" s="8" t="inlineStr">
        <is>
          <t>bài 8</t>
        </is>
      </c>
      <c r="B375" s="6" t="inlineStr">
        <is>
          <t>譬如</t>
        </is>
      </c>
      <c r="C375" s="8">
        <f>pinyin(B375)</f>
        <v/>
      </c>
      <c r="D375" s="8" t="inlineStr">
        <is>
          <t>比如</t>
        </is>
      </c>
      <c r="E375" s="8">
        <f>IFERROR(__xludf.DUMMYFUNCTION("GOOGLETRANSLATE(B375, ""zh"", ""vi"")"),"Ví dụ")</f>
        <v/>
      </c>
      <c r="F375" s="14" t="inlineStr">
        <is>
          <t>譬如说，我们可以去散步。</t>
        </is>
      </c>
      <c r="H375" s="9">
        <f>G375=B375</f>
        <v/>
      </c>
    </row>
    <row r="376">
      <c r="A376" s="8" t="inlineStr">
        <is>
          <t>bài 8</t>
        </is>
      </c>
      <c r="B376" s="6" t="inlineStr">
        <is>
          <t>各抒己见</t>
        </is>
      </c>
      <c r="C376" s="8">
        <f>pinyin(B376)</f>
        <v/>
      </c>
      <c r="D376" s="8" t="inlineStr">
        <is>
          <t>每个人说出自己的看法</t>
        </is>
      </c>
      <c r="E376" s="8">
        <f>IFERROR(__xludf.DUMMYFUNCTION("GOOGLETRANSLATE(B376, ""zh"", ""vi"")"),"Mỗi người đều bày tỏ ý kiến ​​riêng của mình.")</f>
        <v/>
      </c>
      <c r="F376" s="14" t="inlineStr">
        <is>
          <t>同学们各抒己见，气氛很热烈。</t>
        </is>
      </c>
      <c r="H376" s="9">
        <f>G376=B376</f>
        <v/>
      </c>
    </row>
    <row r="377">
      <c r="A377" s="8" t="inlineStr">
        <is>
          <t>bài 8</t>
        </is>
      </c>
      <c r="B377" s="6" t="inlineStr">
        <is>
          <t>通缉</t>
        </is>
      </c>
      <c r="C377" s="8">
        <f>pinyin(B377)</f>
        <v/>
      </c>
      <c r="D377" s="8" t="inlineStr">
        <is>
          <t>警察公开抓捕</t>
        </is>
      </c>
      <c r="E377" s="8" t="inlineStr">
        <is>
          <t>truy nã</t>
        </is>
      </c>
      <c r="F377" s="14" t="inlineStr">
        <is>
          <t>这个罪犯被通缉了很多年。</t>
        </is>
      </c>
      <c r="H377" s="9">
        <f>G377=B377</f>
        <v/>
      </c>
    </row>
    <row r="378">
      <c r="A378" s="8" t="inlineStr">
        <is>
          <t>bài 8</t>
        </is>
      </c>
      <c r="B378" s="6" t="inlineStr">
        <is>
          <t>惩罚</t>
        </is>
      </c>
      <c r="C378" s="8">
        <f>pinyin(B378)</f>
        <v/>
      </c>
      <c r="D378" s="8" t="inlineStr">
        <is>
          <t>处罚</t>
        </is>
      </c>
      <c r="E378" s="8">
        <f>IFERROR(__xludf.DUMMYFUNCTION("GOOGLETRANSLATE(B378, ""zh"", ""vi"")"),"trừng phạt")</f>
        <v/>
      </c>
      <c r="F378" s="14" t="inlineStr">
        <is>
          <t>坏人应该受到惩罚。</t>
        </is>
      </c>
      <c r="H378" s="9">
        <f>G378=B378</f>
        <v/>
      </c>
    </row>
    <row r="379">
      <c r="A379" s="8" t="inlineStr">
        <is>
          <t>bài 8</t>
        </is>
      </c>
      <c r="B379" s="6" t="inlineStr">
        <is>
          <t>忧郁</t>
        </is>
      </c>
      <c r="C379" s="8">
        <f>pinyin(B379)</f>
        <v/>
      </c>
      <c r="D379" s="8" t="inlineStr">
        <is>
          <t>心里很不开心</t>
        </is>
      </c>
      <c r="E379" s="8">
        <f>IFERROR(__xludf.DUMMYFUNCTION("GOOGLETRANSLATE(B379, ""zh"", ""vi"")"),"u sầu")</f>
        <v/>
      </c>
      <c r="F379" s="14" t="inlineStr">
        <is>
          <t>她因为失恋而感到忧郁。</t>
        </is>
      </c>
      <c r="H379" s="9">
        <f>G379=B379</f>
        <v/>
      </c>
    </row>
    <row r="380">
      <c r="A380" s="8" t="inlineStr">
        <is>
          <t>bài 8</t>
        </is>
      </c>
      <c r="B380" s="6" t="inlineStr">
        <is>
          <t>肺</t>
        </is>
      </c>
      <c r="C380" s="8">
        <f>pinyin(B380)</f>
        <v/>
      </c>
      <c r="D380" s="8" t="inlineStr">
        <is>
          <t>呼吸的器官</t>
        </is>
      </c>
      <c r="E380" s="8">
        <f>IFERROR(__xludf.DUMMYFUNCTION("GOOGLETRANSLATE(B380, ""zh"", ""vi"")"),"phổi")</f>
        <v/>
      </c>
      <c r="F380" s="14" t="inlineStr">
        <is>
          <t>吸烟对肺有害。</t>
        </is>
      </c>
      <c r="H380" s="9">
        <f>G380=B380</f>
        <v/>
      </c>
    </row>
    <row r="381">
      <c r="A381" s="8" t="inlineStr">
        <is>
          <t>bài 8</t>
        </is>
      </c>
      <c r="B381" s="6" t="inlineStr">
        <is>
          <t>器官</t>
        </is>
      </c>
      <c r="C381" s="8">
        <f>pinyin(B381)</f>
        <v/>
      </c>
      <c r="D381" s="8" t="inlineStr">
        <is>
          <t>身体的组成部分</t>
        </is>
      </c>
      <c r="E381" s="8">
        <f>IFERROR(__xludf.DUMMYFUNCTION("GOOGLETRANSLATE(B381, ""zh"", ""vi"")"),"cơ quan")</f>
        <v/>
      </c>
      <c r="F381" s="14" t="inlineStr">
        <is>
          <t>眼睛是人体重要器官。</t>
        </is>
      </c>
      <c r="H381" s="9">
        <f>G381=B381</f>
        <v/>
      </c>
    </row>
    <row r="382">
      <c r="A382" s="8" t="inlineStr">
        <is>
          <t>bài 8</t>
        </is>
      </c>
      <c r="B382" s="6" t="inlineStr">
        <is>
          <t>极端</t>
        </is>
      </c>
      <c r="C382" s="8">
        <f>pinyin(B382)</f>
        <v/>
      </c>
      <c r="D382" s="8" t="inlineStr">
        <is>
          <t>非常过分</t>
        </is>
      </c>
      <c r="E382" s="8">
        <f>IFERROR(__xludf.DUMMYFUNCTION("GOOGLETRANSLATE(B382, ""zh"", ""vi"")"),"vô cùng")</f>
        <v/>
      </c>
      <c r="F382" s="14" t="inlineStr">
        <is>
          <t>不要走极端。</t>
        </is>
      </c>
      <c r="H382" s="9">
        <f>G382=B382</f>
        <v/>
      </c>
    </row>
    <row r="383">
      <c r="A383" s="8" t="inlineStr">
        <is>
          <t>bài 8</t>
        </is>
      </c>
      <c r="B383" s="6" t="inlineStr">
        <is>
          <t>空前绝后</t>
        </is>
      </c>
      <c r="C383" s="8">
        <f>pinyin(B383)</f>
        <v/>
      </c>
      <c r="D383" s="8" t="inlineStr">
        <is>
          <t>以前没有，以后也不会有</t>
        </is>
      </c>
      <c r="E383" s="8">
        <f>IFERROR(__xludf.DUMMYFUNCTION("GOOGLETRANSLATE(B383, ""zh"", ""vi"")"),"Chưa từng có và vô song")</f>
        <v/>
      </c>
      <c r="F383" s="14" t="inlineStr">
        <is>
          <t>这次比赛规模空前绝后。</t>
        </is>
      </c>
      <c r="H383" s="9">
        <f>G383=B383</f>
        <v/>
      </c>
    </row>
    <row r="384">
      <c r="A384" s="8" t="inlineStr">
        <is>
          <t>bài 8</t>
        </is>
      </c>
      <c r="B384" s="6" t="inlineStr">
        <is>
          <t>清醒</t>
        </is>
      </c>
      <c r="C384" s="8">
        <f>pinyin(B384)</f>
        <v/>
      </c>
      <c r="D384" s="8" t="inlineStr">
        <is>
          <t>头脑清楚</t>
        </is>
      </c>
      <c r="E384" s="8" t="inlineStr">
        <is>
          <t>tỉnh lại</t>
        </is>
      </c>
      <c r="F384" s="14" t="inlineStr">
        <is>
          <t>喝了咖啡后，我清醒了很多。</t>
        </is>
      </c>
      <c r="H384" s="9">
        <f>G384=B384</f>
        <v/>
      </c>
    </row>
    <row r="385">
      <c r="A385" s="8" t="inlineStr">
        <is>
          <t>bài 8</t>
        </is>
      </c>
      <c r="B385" s="6" t="inlineStr">
        <is>
          <t>言论</t>
        </is>
      </c>
      <c r="C385" s="8">
        <f>pinyin(B385)</f>
        <v/>
      </c>
      <c r="D385" s="8" t="inlineStr">
        <is>
          <t>说的话、观点</t>
        </is>
      </c>
      <c r="E385" s="8" t="inlineStr">
        <is>
          <t>lý luận</t>
        </is>
      </c>
      <c r="F385" s="14" t="inlineStr">
        <is>
          <t>不要轻易相信网络上的言论。</t>
        </is>
      </c>
      <c r="H385" s="9">
        <f>G385=B385</f>
        <v/>
      </c>
    </row>
    <row r="386">
      <c r="A386" s="8" t="inlineStr">
        <is>
          <t>bài 8</t>
        </is>
      </c>
      <c r="B386" s="6" t="inlineStr">
        <is>
          <t>学说</t>
        </is>
      </c>
      <c r="C386" s="8">
        <f>pinyin(B386)</f>
        <v/>
      </c>
      <c r="D386" s="8" t="inlineStr">
        <is>
          <t>理论、思想</t>
        </is>
      </c>
      <c r="E386" s="8" t="inlineStr">
        <is>
          <t>học thuyết</t>
        </is>
      </c>
      <c r="F386" s="14" t="inlineStr">
        <is>
          <t>这个学说已经被很多人接受。</t>
        </is>
      </c>
      <c r="H386" s="9">
        <f>G386=B386</f>
        <v/>
      </c>
    </row>
    <row r="387">
      <c r="A387" s="8" t="inlineStr">
        <is>
          <t>bài 8</t>
        </is>
      </c>
      <c r="B387" s="6" t="inlineStr">
        <is>
          <t>昏迷</t>
        </is>
      </c>
      <c r="C387" s="8">
        <f>pinyin(B387)</f>
        <v/>
      </c>
      <c r="E387" s="8">
        <f>IFERROR(__xludf.DUMMYFUNCTION("GOOGLETRANSLATE(B387, ""zh"", ""vi"")"),"hôn mê")</f>
        <v/>
      </c>
      <c r="F387" s="14" t="inlineStr">
        <is>
          <t>他因为车祸严重受伤，目前依然处于昏迷状态。</t>
        </is>
      </c>
      <c r="H387" s="9">
        <f>G387=B387</f>
        <v/>
      </c>
    </row>
    <row r="388">
      <c r="A388" s="8" t="inlineStr">
        <is>
          <t>bài 8</t>
        </is>
      </c>
      <c r="B388" s="6" t="inlineStr">
        <is>
          <t>移植</t>
        </is>
      </c>
      <c r="C388" s="8">
        <f>pinyin(B388)</f>
        <v/>
      </c>
      <c r="D388" s="8" t="inlineStr">
        <is>
          <t>把器官从一个人移到另一个人身上</t>
        </is>
      </c>
      <c r="E388" s="8">
        <f>IFERROR(__xludf.DUMMYFUNCTION("GOOGLETRANSLATE(B388, ""zh"", ""vi"")"),"cấy ghép")</f>
        <v/>
      </c>
      <c r="F388" s="14" t="inlineStr">
        <is>
          <t>器官移植技术越来越先进。</t>
        </is>
      </c>
      <c r="H388" s="9">
        <f>G388=B388</f>
        <v/>
      </c>
    </row>
    <row r="389">
      <c r="A389" s="8" t="inlineStr">
        <is>
          <t>bài 8</t>
        </is>
      </c>
      <c r="B389" s="6" t="inlineStr">
        <is>
          <t>面貌</t>
        </is>
      </c>
      <c r="C389" s="8">
        <f>pinyin(B389)</f>
        <v/>
      </c>
      <c r="D389" s="8" t="inlineStr">
        <is>
          <t>脸的样子、青神 ， 状态</t>
        </is>
      </c>
      <c r="E389" s="8">
        <f>IFERROR(__xludf.DUMMYFUNCTION("GOOGLETRANSLATE(B389, ""zh"", ""vi"")"),"khuôn mặt")</f>
        <v/>
      </c>
      <c r="F389" s="14" t="inlineStr">
        <is>
          <t>城市的面貌发生了很大变化。</t>
        </is>
      </c>
      <c r="H389" s="9">
        <f>G389=B389</f>
        <v/>
      </c>
    </row>
    <row r="390">
      <c r="A390" s="8" t="inlineStr">
        <is>
          <t>bài 8</t>
        </is>
      </c>
      <c r="B390" s="6" t="inlineStr">
        <is>
          <t>遥远</t>
        </is>
      </c>
      <c r="C390" s="8">
        <f>pinyin(B390)</f>
        <v/>
      </c>
      <c r="D390" s="8" t="inlineStr">
        <is>
          <t>很远</t>
        </is>
      </c>
      <c r="E390" s="8">
        <f>IFERROR(__xludf.DUMMYFUNCTION("GOOGLETRANSLATE(B390, ""zh"", ""vi"")"),"xa xôi")</f>
        <v/>
      </c>
      <c r="F390" s="14" t="inlineStr">
        <is>
          <t>我的梦想看起来还很遥远。</t>
        </is>
      </c>
      <c r="H390" s="9">
        <f>G390=B390</f>
        <v/>
      </c>
    </row>
    <row r="391">
      <c r="A391" s="8" t="inlineStr">
        <is>
          <t>bài 8</t>
        </is>
      </c>
      <c r="B391" s="6" t="inlineStr">
        <is>
          <t>陷入</t>
        </is>
      </c>
      <c r="C391" s="8">
        <f>pinyin(B391)</f>
        <v/>
      </c>
      <c r="D391" s="8" t="inlineStr">
        <is>
          <t>进入某种不好的状态</t>
        </is>
      </c>
      <c r="E391" s="8">
        <f>IFERROR(__xludf.DUMMYFUNCTION("GOOGLETRANSLATE(B391, ""zh"", ""vi"")"),"Rơi vào")</f>
        <v/>
      </c>
      <c r="F391" s="14" t="inlineStr">
        <is>
          <t>公司陷入财务危机。</t>
        </is>
      </c>
      <c r="H391" s="9">
        <f>G391=B391</f>
        <v/>
      </c>
    </row>
    <row r="392">
      <c r="A392" s="8" t="inlineStr">
        <is>
          <t>bài 8</t>
        </is>
      </c>
      <c r="B392" s="6" t="inlineStr">
        <is>
          <t>思索</t>
        </is>
      </c>
      <c r="C392" s="8">
        <f>pinyin(B392)</f>
        <v/>
      </c>
      <c r="D392" s="8" t="inlineStr">
        <is>
          <t>认真思考</t>
        </is>
      </c>
      <c r="E392" s="8">
        <f>IFERROR(__xludf.DUMMYFUNCTION("GOOGLETRANSLATE(B392, ""zh"", ""vi"")"),"suy nghĩ")</f>
        <v/>
      </c>
      <c r="F392" s="14" t="inlineStr">
        <is>
          <t>他整夜都在思索人生。</t>
        </is>
      </c>
      <c r="H392" s="9">
        <f>G392=B392</f>
        <v/>
      </c>
    </row>
    <row r="393">
      <c r="A393" s="8" t="inlineStr">
        <is>
          <t>bài 8</t>
        </is>
      </c>
      <c r="B393" s="6" t="inlineStr">
        <is>
          <t>设想</t>
        </is>
      </c>
      <c r="C393" s="8">
        <f>pinyin(B393)</f>
        <v/>
      </c>
      <c r="D393" s="8" t="inlineStr">
        <is>
          <t>想象</t>
        </is>
      </c>
      <c r="E393" s="8">
        <f>IFERROR(__xludf.DUMMYFUNCTION("GOOGLETRANSLATE(B393, ""zh"", ""vi"")"),"Tưởng tượng")</f>
        <v/>
      </c>
      <c r="F393" s="14" t="inlineStr">
        <is>
          <t>他设想了很多种可能。</t>
        </is>
      </c>
      <c r="H393" s="9">
        <f>G393=B393</f>
        <v/>
      </c>
    </row>
    <row r="394">
      <c r="A394" s="8" t="inlineStr">
        <is>
          <t>bài 8</t>
        </is>
      </c>
      <c r="B394" s="6" t="inlineStr">
        <is>
          <t>性命</t>
        </is>
      </c>
      <c r="C394" s="8">
        <f>pinyin(B394)</f>
        <v/>
      </c>
      <c r="D394" s="8" t="inlineStr">
        <is>
          <t>生命</t>
        </is>
      </c>
      <c r="E394" s="8">
        <f>IFERROR(__xludf.DUMMYFUNCTION("GOOGLETRANSLATE(B394, ""zh"", ""vi"")"),"mạng sống")</f>
        <v/>
      </c>
      <c r="F394" s="14" t="inlineStr">
        <is>
          <t>保护好自己的性命。</t>
        </is>
      </c>
      <c r="H394" s="9">
        <f>G394=B394</f>
        <v/>
      </c>
    </row>
    <row r="395">
      <c r="A395" s="8" t="inlineStr">
        <is>
          <t>bài 8</t>
        </is>
      </c>
      <c r="B395" s="6" t="inlineStr">
        <is>
          <t>无忧无虑</t>
        </is>
      </c>
      <c r="C395" s="8">
        <f>pinyin(B395)</f>
        <v/>
      </c>
      <c r="D395" s="8" t="inlineStr">
        <is>
          <t>没有烦恼，很开心</t>
        </is>
      </c>
      <c r="E395" s="8">
        <f>IFERROR(__xludf.DUMMYFUNCTION("GOOGLETRANSLATE(B395, ""zh"", ""vi"")"),"vô tư")</f>
        <v/>
      </c>
      <c r="F395" s="14" t="inlineStr">
        <is>
          <t>我希望过无忧无虑的生活。</t>
        </is>
      </c>
      <c r="H395" s="9">
        <f>G395=B395</f>
        <v/>
      </c>
    </row>
    <row r="396">
      <c r="A396" s="8" t="inlineStr">
        <is>
          <t>bài 8</t>
        </is>
      </c>
      <c r="B396" s="11" t="inlineStr">
        <is>
          <t>崭新</t>
        </is>
      </c>
      <c r="C396" s="8">
        <f>pinyin(B396)</f>
        <v/>
      </c>
      <c r="D396" s="8" t="inlineStr">
        <is>
          <t>全新的</t>
        </is>
      </c>
      <c r="E396" s="8">
        <f>IFERROR(__xludf.DUMMYFUNCTION("GOOGLETRANSLATE(B396, ""zh"", ""vi"")"),"Hoàn toàn mới")</f>
        <v/>
      </c>
      <c r="F396" s="14" t="inlineStr">
        <is>
          <t>他穿着一件崭新的衣服。</t>
        </is>
      </c>
      <c r="H396" s="9">
        <f>G396=B396</f>
        <v/>
      </c>
    </row>
    <row r="397">
      <c r="A397" s="8" t="inlineStr">
        <is>
          <t>bài 9</t>
        </is>
      </c>
      <c r="B397" s="11" t="inlineStr">
        <is>
          <t>正经</t>
        </is>
      </c>
      <c r="C397" s="8">
        <f>pinyin(B397)</f>
        <v/>
      </c>
      <c r="D397" s="8" t="inlineStr">
        <is>
          <t>做事认真，不随便开玩笑</t>
        </is>
      </c>
      <c r="E397" s="8">
        <f>IFERROR(__xludf.DUMMYFUNCTION("GOOGLETRANSLATE(B397, ""zh"", ""vi"")"),"nghiêm trọng")</f>
        <v/>
      </c>
      <c r="F397" s="8" t="inlineStr">
        <is>
          <t>我是正经跟你说的。</t>
        </is>
      </c>
      <c r="H397" s="9">
        <f>G397=B397</f>
        <v/>
      </c>
    </row>
    <row r="398">
      <c r="A398" s="8" t="inlineStr">
        <is>
          <t>bài 9</t>
        </is>
      </c>
      <c r="B398" s="11" t="inlineStr">
        <is>
          <t>玩意儿</t>
        </is>
      </c>
      <c r="C398" s="8">
        <f>pinyin(B398)</f>
        <v/>
      </c>
      <c r="D398" s="8" t="inlineStr">
        <is>
          <t>可以拿来用、玩或者看的东西</t>
        </is>
      </c>
      <c r="E398" s="8">
        <f>IFERROR(__xludf.DUMMYFUNCTION("GOOGLETRANSLATE(B398, ""zh"", ""vi"")"),"điều")</f>
        <v/>
      </c>
      <c r="F398" s="8" t="inlineStr">
        <is>
          <t>这是什么玩意儿？</t>
        </is>
      </c>
      <c r="H398" s="9">
        <f>G398=B398</f>
        <v/>
      </c>
    </row>
    <row r="399">
      <c r="A399" s="8" t="inlineStr">
        <is>
          <t>bài 9</t>
        </is>
      </c>
      <c r="B399" s="11" t="inlineStr">
        <is>
          <t>憋</t>
        </is>
      </c>
      <c r="C399" s="8">
        <f>pinyin(B399)</f>
        <v/>
      </c>
      <c r="D399" s="8" t="inlineStr">
        <is>
          <t>心里有话、有感觉，但不说出来</t>
        </is>
      </c>
      <c r="E399" s="8">
        <f>IFERROR(__xludf.DUMMYFUNCTION("GOOGLETRANSLATE(B399, ""zh"", ""vi"")"),"kìm hãm lại")</f>
        <v/>
      </c>
      <c r="F399" s="8" t="inlineStr">
        <is>
          <t>有什么委屈别憋在心里。</t>
        </is>
      </c>
      <c r="H399" s="9">
        <f>G399=B399</f>
        <v/>
      </c>
    </row>
    <row r="400">
      <c r="A400" s="8" t="inlineStr">
        <is>
          <t>bài 9</t>
        </is>
      </c>
      <c r="B400" s="11" t="inlineStr">
        <is>
          <t>报警</t>
        </is>
      </c>
      <c r="C400" s="8">
        <f>pinyin(B400)</f>
        <v/>
      </c>
      <c r="D400" s="8" t="inlineStr">
        <is>
          <t>遇到危险或问题时告诉警察</t>
        </is>
      </c>
      <c r="E400" s="8">
        <f>IFERROR(__xludf.DUMMYFUNCTION("GOOGLETRANSLATE(B400, ""zh"", ""vi"")"),"Gọi cảnh sát")</f>
        <v/>
      </c>
      <c r="F400" s="8" t="inlineStr">
        <is>
          <t>发现情况不对，他立刻报警了。</t>
        </is>
      </c>
      <c r="H400" s="9">
        <f>G400=B400</f>
        <v/>
      </c>
    </row>
    <row r="401">
      <c r="A401" s="8" t="inlineStr">
        <is>
          <t>bài 9</t>
        </is>
      </c>
      <c r="B401" s="11" t="inlineStr">
        <is>
          <t>绑架</t>
        </is>
      </c>
      <c r="C401" s="8">
        <f>pinyin(B401)</f>
        <v/>
      </c>
      <c r="D401" s="8" t="inlineStr">
        <is>
          <t>把人强行带走，不让他自由离开</t>
        </is>
      </c>
      <c r="E401" s="8">
        <f>IFERROR(__xludf.DUMMYFUNCTION("GOOGLETRANSLATE(B401, ""zh"", ""vi"")"),"bắt cóc")</f>
        <v/>
      </c>
      <c r="F401" s="8" t="inlineStr">
        <is>
          <t>电影里的孩子被坏人绑架了。</t>
        </is>
      </c>
      <c r="H401" s="9">
        <f>G401=B401</f>
        <v/>
      </c>
    </row>
    <row r="402">
      <c r="A402" s="8" t="inlineStr">
        <is>
          <t>bài 9</t>
        </is>
      </c>
      <c r="B402" s="11" t="inlineStr">
        <is>
          <t>受罪</t>
        </is>
      </c>
      <c r="C402" s="8">
        <f>pinyin(B402)</f>
        <v/>
      </c>
      <c r="D402" s="8" t="inlineStr">
        <is>
          <t>身体或心里很难受</t>
        </is>
      </c>
      <c r="E402" s="8">
        <f>IFERROR(__xludf.DUMMYFUNCTION("GOOGLETRANSLATE(B402, ""zh"", ""vi"")"),"Sự đau khổ")</f>
        <v/>
      </c>
      <c r="F402" s="8" t="inlineStr">
        <is>
          <t>牙疼的时候真受罪。</t>
        </is>
      </c>
      <c r="H402" s="9">
        <f>G402=B402</f>
        <v/>
      </c>
    </row>
    <row r="403">
      <c r="A403" s="8" t="inlineStr">
        <is>
          <t>bài 9</t>
        </is>
      </c>
      <c r="B403" s="11" t="inlineStr">
        <is>
          <t>吼</t>
        </is>
      </c>
      <c r="C403" s="8">
        <f>pinyin(B403)</f>
        <v/>
      </c>
      <c r="D403" s="8" t="inlineStr">
        <is>
          <t>声音很大地说话</t>
        </is>
      </c>
      <c r="E403" s="8">
        <f>IFERROR(__xludf.DUMMYFUNCTION("GOOGLETRANSLATE(B403, ""zh"", ""vi"")"),"kêu la")</f>
        <v/>
      </c>
      <c r="F403" s="8" t="inlineStr">
        <is>
          <t>别对孩子大吼大叫。</t>
        </is>
      </c>
      <c r="H403" s="9">
        <f>G403=B403</f>
        <v/>
      </c>
    </row>
    <row r="404">
      <c r="A404" s="8" t="inlineStr">
        <is>
          <t>bài 9</t>
        </is>
      </c>
      <c r="B404" s="11" t="inlineStr">
        <is>
          <t>智能</t>
        </is>
      </c>
      <c r="C404" s="8">
        <f>pinyin(B404)</f>
        <v/>
      </c>
      <c r="D404" s="8" t="inlineStr">
        <is>
          <t>能自己处理事情、做出反应</t>
        </is>
      </c>
      <c r="E404" s="8">
        <f>IFERROR(__xludf.DUMMYFUNCTION("GOOGLETRANSLATE(B404, ""zh"", ""vi"")"),"thông minh")</f>
        <v/>
      </c>
      <c r="F404" s="8" t="inlineStr">
        <is>
          <t>现在很多家庭都在用智能家电。</t>
        </is>
      </c>
      <c r="H404" s="9">
        <f>G404=B404</f>
        <v/>
      </c>
    </row>
    <row r="405">
      <c r="A405" s="8" t="inlineStr">
        <is>
          <t>bài 9</t>
        </is>
      </c>
      <c r="B405" s="11" t="inlineStr">
        <is>
          <t>奴隶</t>
        </is>
      </c>
      <c r="C405" s="8">
        <f>pinyin(B405)</f>
        <v/>
      </c>
      <c r="D405" s="8" t="inlineStr">
        <is>
          <t>没有自由，要听别人命令的人</t>
        </is>
      </c>
      <c r="E405" s="8">
        <f>IFERROR(__xludf.DUMMYFUNCTION("GOOGLETRANSLATE(B405, ""zh"", ""vi"")"),"nô lệ")</f>
        <v/>
      </c>
      <c r="F405" s="8" t="inlineStr">
        <is>
          <t>别做手机的奴隶。</t>
        </is>
      </c>
      <c r="H405" s="9">
        <f>G405=B405</f>
        <v/>
      </c>
    </row>
    <row r="406">
      <c r="A406" s="8" t="inlineStr">
        <is>
          <t>bài 9</t>
        </is>
      </c>
      <c r="B406" s="11" t="inlineStr">
        <is>
          <t>麻木</t>
        </is>
      </c>
      <c r="C406" s="8">
        <f>pinyin(B406)</f>
        <v/>
      </c>
      <c r="D406" s="8" t="inlineStr">
        <is>
          <t>对事情没有感觉，也没有反应</t>
        </is>
      </c>
      <c r="E406" s="8">
        <f>IFERROR(__xludf.DUMMYFUNCTION("GOOGLETRANSLATE(B406, ""zh"", ""vi"")"),"tê liệt")</f>
        <v/>
      </c>
      <c r="F406" s="8" t="inlineStr">
        <is>
          <t>同样的话听多了，人就麻木了。</t>
        </is>
      </c>
      <c r="H406" s="9">
        <f>G406=B406</f>
        <v/>
      </c>
    </row>
    <row r="407">
      <c r="A407" s="8" t="inlineStr">
        <is>
          <t>bài 9</t>
        </is>
      </c>
      <c r="B407" s="11" t="inlineStr">
        <is>
          <t>狼吞虎咽</t>
        </is>
      </c>
      <c r="C407" s="8">
        <f>pinyin(B407)</f>
        <v/>
      </c>
      <c r="D407" s="8" t="inlineStr">
        <is>
          <t>吃东西很快，好像很久没吃饭一样</t>
        </is>
      </c>
      <c r="E407" s="8">
        <f>IFERROR(__xludf.DUMMYFUNCTION("GOOGLETRANSLATE(B407, ""zh"", ""vi"")"),"sói")</f>
        <v/>
      </c>
      <c r="F407" s="8" t="inlineStr">
        <is>
          <t>他饿得狼吞虎咽地吃起来。</t>
        </is>
      </c>
      <c r="H407" s="9">
        <f>G407=B407</f>
        <v/>
      </c>
    </row>
    <row r="408">
      <c r="A408" s="8" t="inlineStr">
        <is>
          <t>bài 9</t>
        </is>
      </c>
      <c r="B408" s="11" t="inlineStr">
        <is>
          <t>伺候</t>
        </is>
      </c>
      <c r="C408" s="8">
        <f>pinyin(B408)</f>
        <v/>
      </c>
      <c r="D408" s="8" t="inlineStr">
        <is>
          <t>照顾别人生活上的需要</t>
        </is>
      </c>
      <c r="E408" s="8">
        <f>IFERROR(__xludf.DUMMYFUNCTION("GOOGLETRANSLATE(B408, ""zh"", ""vi"")"),"phục vụ")</f>
        <v/>
      </c>
      <c r="F408" s="8" t="inlineStr">
        <is>
          <t>奶奶生病了，需要人伺候。</t>
        </is>
      </c>
      <c r="H408" s="9">
        <f>G408=B408</f>
        <v/>
      </c>
    </row>
    <row r="409">
      <c r="A409" s="8" t="inlineStr">
        <is>
          <t>bài 9</t>
        </is>
      </c>
      <c r="B409" s="11" t="inlineStr">
        <is>
          <t>眨</t>
        </is>
      </c>
      <c r="C409" s="8">
        <f>pinyin(B409)</f>
        <v/>
      </c>
      <c r="D409" s="8" t="inlineStr">
        <is>
          <t>眼睛很快地关一下又打开</t>
        </is>
      </c>
      <c r="E409" s="8">
        <f>IFERROR(__xludf.DUMMYFUNCTION("GOOGLETRANSLATE(B409, ""zh"", ""vi"")"),"nháy mắt")</f>
        <v/>
      </c>
      <c r="F409" s="8" t="inlineStr">
        <is>
          <t>她眨了眨眼睛，没有说话。</t>
        </is>
      </c>
      <c r="H409" s="9">
        <f>G409=B409</f>
        <v/>
      </c>
    </row>
    <row r="410">
      <c r="A410" s="8" t="inlineStr">
        <is>
          <t>bài 9</t>
        </is>
      </c>
      <c r="B410" s="11" t="inlineStr">
        <is>
          <t>索性</t>
        </is>
      </c>
      <c r="C410" s="8">
        <f>pinyin(B410)</f>
        <v/>
      </c>
      <c r="D410" s="8" t="inlineStr">
        <is>
          <t>不再考虑别的，直接这样做</t>
        </is>
      </c>
      <c r="E410" s="8">
        <f>IFERROR(__xludf.DUMMYFUNCTION("GOOGLETRANSLATE(B410, ""zh"", ""vi"")"),"Vậy thì cứ như thế đi")</f>
        <v/>
      </c>
      <c r="F410" s="8" t="inlineStr">
        <is>
          <t>既然来了，我索性进去看看。</t>
        </is>
      </c>
      <c r="H410" s="9">
        <f>G410=B410</f>
        <v/>
      </c>
    </row>
    <row r="411">
      <c r="A411" s="8" t="inlineStr">
        <is>
          <t>bài 9</t>
        </is>
      </c>
      <c r="B411" s="11" t="inlineStr">
        <is>
          <t>作息</t>
        </is>
      </c>
      <c r="C411" s="8">
        <f>pinyin(B411)</f>
        <v/>
      </c>
      <c r="D411" s="8" t="inlineStr">
        <is>
          <t>每天什么时候工作、学习、休息</t>
        </is>
      </c>
      <c r="E411" s="8">
        <f>IFERROR(__xludf.DUMMYFUNCTION("GOOGLETRANSLATE(B411, ""zh"", ""vi"")"),"Thói quen hàng ngày")</f>
        <v/>
      </c>
      <c r="F411" s="8" t="inlineStr">
        <is>
          <t>我的作息一直很规律。</t>
        </is>
      </c>
      <c r="H411" s="9">
        <f>G411=B411</f>
        <v/>
      </c>
    </row>
    <row r="412">
      <c r="A412" s="8" t="inlineStr">
        <is>
          <t>bài 9</t>
        </is>
      </c>
      <c r="B412" s="11" t="inlineStr">
        <is>
          <t>着手</t>
        </is>
      </c>
      <c r="C412" s="8">
        <f>pinyin(B412)</f>
        <v/>
      </c>
      <c r="D412" s="8" t="inlineStr">
        <is>
          <t>开始动手做某件事</t>
        </is>
      </c>
      <c r="E412" s="8">
        <f>IFERROR(__xludf.DUMMYFUNCTION("GOOGLETRANSLATE(B412, ""zh"", ""vi"")"),"Bắt đầu")</f>
        <v/>
      </c>
      <c r="F412" s="8" t="inlineStr">
        <is>
          <t>这项工作已经开始着手准备了。</t>
        </is>
      </c>
      <c r="H412" s="9">
        <f>G412=B412</f>
        <v/>
      </c>
    </row>
    <row r="413">
      <c r="A413" s="8" t="inlineStr">
        <is>
          <t>bài 9</t>
        </is>
      </c>
      <c r="B413" s="11" t="inlineStr">
        <is>
          <t>安置</t>
        </is>
      </c>
      <c r="C413" s="8">
        <f>pinyin(B413)</f>
        <v/>
      </c>
      <c r="D413" s="8" t="inlineStr">
        <is>
          <t>把人或东西安排在合适的地方</t>
        </is>
      </c>
      <c r="E413" s="8" t="inlineStr">
        <is>
          <t>thu xếp, bố trí</t>
        </is>
      </c>
      <c r="F413" s="8" t="inlineStr">
        <is>
          <t>学校已经安置好了受灾群众。</t>
        </is>
      </c>
      <c r="H413" s="9">
        <f>G413=B413</f>
        <v/>
      </c>
    </row>
    <row r="414">
      <c r="A414" s="8" t="inlineStr">
        <is>
          <t>bài 9</t>
        </is>
      </c>
      <c r="B414" s="11" t="inlineStr">
        <is>
          <t>防止</t>
        </is>
      </c>
      <c r="C414" s="8">
        <f>pinyin(B414)</f>
        <v/>
      </c>
      <c r="D414" s="8" t="inlineStr">
        <is>
          <t>提前准备办法，不让事情发生 （不能控制）</t>
        </is>
      </c>
      <c r="E414" s="8">
        <f>IFERROR(__xludf.DUMMYFUNCTION("GOOGLETRANSLATE(B414, ""zh"", ""vi"")"),"ngăn chặn")</f>
        <v/>
      </c>
      <c r="F414" s="8" t="inlineStr">
        <is>
          <t>我们要防止类似的问题再次发生。</t>
        </is>
      </c>
      <c r="H414" s="9">
        <f>G414=B414</f>
        <v/>
      </c>
    </row>
    <row r="415">
      <c r="A415" s="8" t="inlineStr">
        <is>
          <t>bài 9</t>
        </is>
      </c>
      <c r="B415" s="11" t="inlineStr">
        <is>
          <t>薄弱</t>
        </is>
      </c>
      <c r="C415" s="8">
        <f>pinyin(B415)</f>
        <v/>
      </c>
      <c r="D415" s="8" t="inlineStr">
        <is>
          <t>力量不够，容易出问题</t>
        </is>
      </c>
      <c r="E415" s="8">
        <f>IFERROR(__xludf.DUMMYFUNCTION("GOOGLETRANSLATE(B415, ""zh"", ""vi"")"),"yếu đuối")</f>
        <v/>
      </c>
      <c r="F415" s="8" t="inlineStr">
        <is>
          <t>这个环节比较薄弱。</t>
        </is>
      </c>
      <c r="H415" s="9">
        <f>G415=B415</f>
        <v/>
      </c>
    </row>
    <row r="416">
      <c r="A416" s="8" t="inlineStr">
        <is>
          <t>bài 9</t>
        </is>
      </c>
      <c r="B416" s="11" t="inlineStr">
        <is>
          <t>精致</t>
        </is>
      </c>
      <c r="C416" s="8">
        <f>pinyin(B416)</f>
        <v/>
      </c>
      <c r="D416" s="8" t="inlineStr">
        <is>
          <t>做得很细，很漂亮</t>
        </is>
      </c>
      <c r="E416" s="8" t="inlineStr">
        <is>
          <t>tinh xảo</t>
        </is>
      </c>
      <c r="F416" s="8" t="inlineStr">
        <is>
          <t>她今天打扮得很精致。</t>
        </is>
      </c>
      <c r="H416" s="9">
        <f>G416=B416</f>
        <v/>
      </c>
    </row>
    <row r="417">
      <c r="A417" s="8" t="inlineStr">
        <is>
          <t>bài 9</t>
        </is>
      </c>
      <c r="B417" s="11" t="inlineStr">
        <is>
          <t>庄重</t>
        </is>
      </c>
      <c r="C417" s="8">
        <f>pinyin(B417)</f>
        <v/>
      </c>
      <c r="D417" s="8" t="inlineStr">
        <is>
          <t>给人严肃、正式的感觉</t>
        </is>
      </c>
      <c r="E417" s="8">
        <f>IFERROR(__xludf.DUMMYFUNCTION("GOOGLETRANSLATE(B417, ""zh"", ""vi"")"),"trang nghiêm")</f>
        <v/>
      </c>
      <c r="F417" s="8" t="inlineStr">
        <is>
          <t>婚礼现场显得十分庄重。</t>
        </is>
      </c>
      <c r="H417" s="9">
        <f>G417=B417</f>
        <v/>
      </c>
    </row>
    <row r="418">
      <c r="A418" s="8" t="inlineStr">
        <is>
          <t>bài 9</t>
        </is>
      </c>
      <c r="B418" s="11" t="inlineStr">
        <is>
          <t>分散</t>
        </is>
      </c>
      <c r="C418" s="8">
        <f>pinyin(B418)</f>
        <v/>
      </c>
      <c r="D418" s="8" t="inlineStr">
        <is>
          <t>从集中变成不集中</t>
        </is>
      </c>
      <c r="E418" s="8">
        <f>IFERROR(__xludf.DUMMYFUNCTION("GOOGLETRANSLATE(B418, ""zh"", ""vi"")"),"sự phân tán")</f>
        <v/>
      </c>
      <c r="F418" s="8" t="inlineStr">
        <is>
          <t>注意力容易被手机分散。</t>
        </is>
      </c>
      <c r="H418" s="9">
        <f>G418=B418</f>
        <v/>
      </c>
    </row>
    <row r="419">
      <c r="A419" s="8" t="inlineStr">
        <is>
          <t>bài 9</t>
        </is>
      </c>
      <c r="B419" s="11" t="inlineStr">
        <is>
          <t>僵硬</t>
        </is>
      </c>
      <c r="C419" s="8">
        <f>pinyin(B419)</f>
        <v/>
      </c>
      <c r="D419" s="8" t="inlineStr">
        <is>
          <t>身体不灵活，不容易活动</t>
        </is>
      </c>
      <c r="E419" s="8">
        <f>IFERROR(__xludf.DUMMYFUNCTION("GOOGLETRANSLATE(B419, ""zh"", ""vi"")"),"cứng")</f>
        <v/>
      </c>
      <c r="F419" s="8" t="inlineStr">
        <is>
          <t>坐久了身体有点僵硬。</t>
        </is>
      </c>
      <c r="H419" s="9">
        <f>G419=B419</f>
        <v/>
      </c>
    </row>
    <row r="420">
      <c r="A420" s="8" t="inlineStr">
        <is>
          <t>bài 9</t>
        </is>
      </c>
      <c r="B420" s="11" t="inlineStr">
        <is>
          <t>四肢</t>
        </is>
      </c>
      <c r="C420" s="8">
        <f>pinyin(B420)</f>
        <v/>
      </c>
      <c r="D420" s="8" t="inlineStr">
        <is>
          <t>人的两只手和两条腿</t>
        </is>
      </c>
      <c r="E420" s="8">
        <f>IFERROR(__xludf.DUMMYFUNCTION("GOOGLETRANSLATE(B420, ""zh"", ""vi"")"),"chi")</f>
        <v/>
      </c>
      <c r="F420" s="8" t="inlineStr">
        <is>
          <t>运动可以锻炼四肢。</t>
        </is>
      </c>
      <c r="H420" s="9">
        <f>G420=B420</f>
        <v/>
      </c>
    </row>
    <row r="421">
      <c r="A421" s="8" t="inlineStr">
        <is>
          <t>bài 9</t>
        </is>
      </c>
      <c r="B421" s="11" t="inlineStr">
        <is>
          <t>特长</t>
        </is>
      </c>
      <c r="C421" s="8">
        <f>pinyin(B421)</f>
        <v/>
      </c>
      <c r="D421" s="8" t="inlineStr">
        <is>
          <t>比一般人更擅长的能力</t>
        </is>
      </c>
      <c r="E421" s="8" t="inlineStr">
        <is>
          <t>sở trường</t>
        </is>
      </c>
      <c r="F421" s="8" t="inlineStr">
        <is>
          <t>他的特长是画画。</t>
        </is>
      </c>
      <c r="H421" s="9">
        <f>G421=B421</f>
        <v/>
      </c>
    </row>
    <row r="422">
      <c r="A422" s="8" t="inlineStr">
        <is>
          <t>bài 9</t>
        </is>
      </c>
      <c r="B422" s="11" t="inlineStr">
        <is>
          <t>兴高采烈</t>
        </is>
      </c>
      <c r="C422" s="8">
        <f>pinyin(B422)</f>
        <v/>
      </c>
      <c r="D422" s="8" t="inlineStr">
        <is>
          <t>心情特别高兴</t>
        </is>
      </c>
      <c r="E422" s="8">
        <f>IFERROR(__xludf.DUMMYFUNCTION("GOOGLETRANSLATE(B422, ""zh"", ""vi"")"),"vui mừng")</f>
        <v/>
      </c>
      <c r="F422" s="8" t="inlineStr">
        <is>
          <t>孩子们兴高采烈地跑进教室。</t>
        </is>
      </c>
      <c r="H422" s="9">
        <f>G422=B422</f>
        <v/>
      </c>
    </row>
    <row r="423">
      <c r="A423" s="8" t="inlineStr">
        <is>
          <t>bài 9</t>
        </is>
      </c>
      <c r="B423" s="11" t="inlineStr">
        <is>
          <t>摇滚</t>
        </is>
      </c>
      <c r="C423" s="8">
        <f>pinyin(B423)</f>
        <v/>
      </c>
      <c r="D423" s="8" t="inlineStr">
        <is>
          <t>一种节奏很强的现代音乐</t>
        </is>
      </c>
      <c r="E423" s="8">
        <f>IFERROR(__xludf.DUMMYFUNCTION("GOOGLETRANSLATE(B423, ""zh"", ""vi"")"),"Đá")</f>
        <v/>
      </c>
      <c r="F423" s="8" t="inlineStr">
        <is>
          <t>我年轻时很喜欢听摇滚。</t>
        </is>
      </c>
      <c r="H423" s="9">
        <f>G423=B423</f>
        <v/>
      </c>
    </row>
    <row r="424">
      <c r="A424" s="8" t="inlineStr">
        <is>
          <t>bài 9</t>
        </is>
      </c>
      <c r="B424" s="11" t="inlineStr">
        <is>
          <t>一举两得</t>
        </is>
      </c>
      <c r="C424" s="8">
        <f>pinyin(B424)</f>
        <v/>
      </c>
      <c r="D424" s="8" t="inlineStr">
        <is>
          <t>做一件事，得到两个好处</t>
        </is>
      </c>
      <c r="E424" s="8">
        <f>IFERROR(__xludf.DUMMYFUNCTION("GOOGLETRANSLATE(B424, ""zh"", ""vi"")"),"Một công đôi việc")</f>
        <v/>
      </c>
      <c r="F424" s="8" t="inlineStr">
        <is>
          <t>这样做真是一举两得。</t>
        </is>
      </c>
      <c r="H424" s="9">
        <f>G424=B424</f>
        <v/>
      </c>
    </row>
    <row r="425">
      <c r="A425" s="8" t="inlineStr">
        <is>
          <t>bài 9</t>
        </is>
      </c>
      <c r="B425" s="11" t="inlineStr">
        <is>
          <t>侦探</t>
        </is>
      </c>
      <c r="C425" s="8">
        <f>pinyin(B425)</f>
        <v/>
      </c>
      <c r="D425" s="8" t="inlineStr">
        <is>
          <t>专门调查案件的人</t>
        </is>
      </c>
      <c r="E425" s="8">
        <f>IFERROR(__xludf.DUMMYFUNCTION("GOOGLETRANSLATE(B425, ""zh"", ""vi"")"),"thám tử")</f>
        <v/>
      </c>
      <c r="F425" s="8" t="inlineStr">
        <is>
          <t>这位侦探很有经验。</t>
        </is>
      </c>
      <c r="H425" s="9">
        <f>G425=B425</f>
        <v/>
      </c>
    </row>
    <row r="426">
      <c r="A426" s="8" t="inlineStr">
        <is>
          <t>bài 9</t>
        </is>
      </c>
      <c r="B426" s="11" t="inlineStr">
        <is>
          <t>案件</t>
        </is>
      </c>
      <c r="C426" s="8">
        <f>pinyin(B426)</f>
        <v/>
      </c>
      <c r="D426" s="8" t="inlineStr">
        <is>
          <t>需要调查和处理的事件</t>
        </is>
      </c>
      <c r="E426" s="8" t="inlineStr">
        <is>
          <t>vụ án</t>
        </is>
      </c>
      <c r="F426" s="8" t="inlineStr">
        <is>
          <t>警方正在调查这起案件。</t>
        </is>
      </c>
      <c r="H426" s="9">
        <f>G426=B426</f>
        <v/>
      </c>
    </row>
    <row r="427">
      <c r="A427" s="8" t="inlineStr">
        <is>
          <t>bài 9</t>
        </is>
      </c>
      <c r="B427" s="11" t="inlineStr">
        <is>
          <t>突破</t>
        </is>
      </c>
      <c r="C427" s="8">
        <f>pinyin(B427)</f>
        <v/>
      </c>
      <c r="D427" s="8" t="inlineStr">
        <is>
          <t>遇到困难后取得新的进展</t>
        </is>
      </c>
      <c r="E427" s="8">
        <f>IFERROR(__xludf.DUMMYFUNCTION("GOOGLETRANSLATE(B427, ""zh"", ""vi"")"),"đột phá")</f>
        <v/>
      </c>
      <c r="F427" s="8" t="inlineStr">
        <is>
          <t>经过努力，终于有了突破。</t>
        </is>
      </c>
      <c r="H427" s="9">
        <f>G427=B427</f>
        <v/>
      </c>
    </row>
    <row r="428">
      <c r="A428" s="8" t="inlineStr">
        <is>
          <t>bài 9</t>
        </is>
      </c>
      <c r="B428" s="11" t="inlineStr">
        <is>
          <t>震惊</t>
        </is>
      </c>
      <c r="C428" s="8">
        <f>pinyin(B428)</f>
        <v/>
      </c>
      <c r="D428" s="8" t="inlineStr">
        <is>
          <t>因为某件事感到非常吃惊</t>
        </is>
      </c>
      <c r="E428" s="8">
        <f>IFERROR(__xludf.DUMMYFUNCTION("GOOGLETRANSLATE(B428, ""zh"", ""vi"")"),"sốc")</f>
        <v/>
      </c>
      <c r="F428" s="8" t="inlineStr">
        <is>
          <t>这个消息让我十分震惊。</t>
        </is>
      </c>
      <c r="H428" s="9">
        <f>G428=B428</f>
        <v/>
      </c>
    </row>
    <row r="429">
      <c r="A429" s="8" t="inlineStr">
        <is>
          <t>bài 9</t>
        </is>
      </c>
      <c r="B429" s="11" t="inlineStr">
        <is>
          <t>恐怖</t>
        </is>
      </c>
      <c r="C429" s="8">
        <f>pinyin(B429)</f>
        <v/>
      </c>
      <c r="D429" s="8" t="inlineStr">
        <is>
          <t>让人感到害怕</t>
        </is>
      </c>
      <c r="E429" s="8">
        <f>IFERROR(__xludf.DUMMYFUNCTION("GOOGLETRANSLATE(B429, ""zh"", ""vi"")"),"nỗi sợ")</f>
        <v/>
      </c>
      <c r="F429" s="8" t="inlineStr">
        <is>
          <t>一个人走夜路总觉得有点恐怖。</t>
        </is>
      </c>
      <c r="H429" s="9">
        <f>G429=B429</f>
        <v/>
      </c>
    </row>
    <row r="430">
      <c r="A430" s="8" t="inlineStr">
        <is>
          <t>bài 9</t>
        </is>
      </c>
      <c r="B430" s="11" t="inlineStr">
        <is>
          <t>袭击</t>
        </is>
      </c>
      <c r="C430" s="8">
        <f>pinyin(B430)</f>
        <v/>
      </c>
      <c r="D430" s="8" t="inlineStr">
        <is>
          <t>突然使用力量攻击</t>
        </is>
      </c>
      <c r="E430" s="8">
        <f>IFERROR(__xludf.DUMMYFUNCTION("GOOGLETRANSLATE(B430, ""zh"", ""vi"")"),"tấn công")</f>
        <v/>
      </c>
      <c r="F430" s="8" t="inlineStr">
        <is>
          <t>机场曾遭到不明人员袭击。</t>
        </is>
      </c>
      <c r="H430" s="9">
        <f>G430=B430</f>
        <v/>
      </c>
    </row>
    <row r="431">
      <c r="A431" s="8" t="inlineStr">
        <is>
          <t>bài 9</t>
        </is>
      </c>
      <c r="B431" s="11" t="inlineStr">
        <is>
          <t>干扰</t>
        </is>
      </c>
      <c r="C431" s="8">
        <f>pinyin(B431)</f>
        <v/>
      </c>
      <c r="D431" s="8" t="inlineStr">
        <is>
          <t>影响别人正常做事</t>
        </is>
      </c>
      <c r="E431" s="8">
        <f>IFERROR(__xludf.DUMMYFUNCTION("GOOGLETRANSLATE(B431, ""zh"", ""vi"")"),"sự can thiệp")</f>
        <v/>
      </c>
      <c r="F431" s="8" t="inlineStr">
        <is>
          <t>噪音严重干扰了我的工作。</t>
        </is>
      </c>
      <c r="H431" s="9">
        <f>G431=B431</f>
        <v/>
      </c>
    </row>
    <row r="432">
      <c r="A432" s="8" t="inlineStr">
        <is>
          <t>bài 9</t>
        </is>
      </c>
      <c r="B432" s="11" t="inlineStr">
        <is>
          <t>冷落</t>
        </is>
      </c>
      <c r="C432" s="8">
        <f>pinyin(B432)</f>
        <v/>
      </c>
      <c r="D432" s="8" t="inlineStr">
        <is>
          <t>不被重视，不被关心</t>
        </is>
      </c>
      <c r="E432" s="8">
        <f>IFERROR(__xludf.DUMMYFUNCTION("GOOGLETRANSLATE(B432, ""zh"", ""vi"")"),"sao nhãng")</f>
        <v/>
      </c>
      <c r="F432" s="8" t="inlineStr">
        <is>
          <t>最近总觉得被朋友冷落了。</t>
        </is>
      </c>
      <c r="H432" s="9">
        <f>G432=B432</f>
        <v/>
      </c>
    </row>
    <row r="433">
      <c r="A433" s="8" t="inlineStr">
        <is>
          <t>bài 9</t>
        </is>
      </c>
      <c r="B433" s="11" t="inlineStr">
        <is>
          <t>踏实</t>
        </is>
      </c>
      <c r="C433" s="8">
        <f>pinyin(B433)</f>
        <v/>
      </c>
      <c r="D433" s="8" t="inlineStr">
        <is>
          <t>心里安稳，不着急</t>
        </is>
      </c>
      <c r="E433" s="8" t="inlineStr">
        <is>
          <t>yên tâm</t>
        </is>
      </c>
      <c r="F433" s="8" t="inlineStr">
        <is>
          <t>把事情交给他，我很踏实。</t>
        </is>
      </c>
      <c r="H433" s="9">
        <f>G433=B433</f>
        <v/>
      </c>
    </row>
    <row r="434">
      <c r="A434" s="8" t="inlineStr">
        <is>
          <t>bài 9</t>
        </is>
      </c>
      <c r="B434" s="11" t="inlineStr">
        <is>
          <t>空虚</t>
        </is>
      </c>
      <c r="C434" s="8">
        <f>pinyin(B434)</f>
        <v/>
      </c>
      <c r="D434" s="8" t="inlineStr">
        <is>
          <t>心里好像缺少什么东西</t>
        </is>
      </c>
      <c r="E434" s="8">
        <f>IFERROR(__xludf.DUMMYFUNCTION("GOOGLETRANSLATE(B434, ""zh"", ""vi"")"),"trống rỗng")</f>
        <v/>
      </c>
      <c r="F434" s="8" t="inlineStr">
        <is>
          <t>假期结束后心里有点空虚。</t>
        </is>
      </c>
      <c r="H434" s="9">
        <f>G434=B434</f>
        <v/>
      </c>
    </row>
    <row r="435">
      <c r="A435" s="8" t="inlineStr">
        <is>
          <t>bài 9</t>
        </is>
      </c>
      <c r="B435" s="11" t="inlineStr">
        <is>
          <t>要命</t>
        </is>
      </c>
      <c r="C435" s="8">
        <f>pinyin(B435)</f>
        <v/>
      </c>
      <c r="D435" s="8" t="inlineStr">
        <is>
          <t>严重得让人受不了</t>
        </is>
      </c>
      <c r="E435" s="8">
        <f>IFERROR(__xludf.DUMMYFUNCTION("GOOGLETRANSLATE(B435, ""zh"", ""vi"")"),"Nguy hiểm")</f>
        <v/>
      </c>
      <c r="F435" s="8" t="inlineStr">
        <is>
          <t>热得真要命。</t>
        </is>
      </c>
      <c r="H435" s="9">
        <f>G435=B435</f>
        <v/>
      </c>
    </row>
    <row r="436">
      <c r="A436" s="8" t="inlineStr">
        <is>
          <t>bài 9</t>
        </is>
      </c>
      <c r="B436" s="11" t="inlineStr">
        <is>
          <t>消耗</t>
        </is>
      </c>
      <c r="C436" s="8">
        <f>pinyin(B436)</f>
        <v/>
      </c>
      <c r="D436" s="8" t="inlineStr">
        <is>
          <t>在使用过程中慢慢减少</t>
        </is>
      </c>
      <c r="E436" s="8">
        <f>IFERROR(__xludf.DUMMYFUNCTION("GOOGLETRANSLATE(B436, ""zh"", ""vi"")"),"Sự tiêu thụ")</f>
        <v/>
      </c>
      <c r="F436" s="8" t="inlineStr">
        <is>
          <t>长时间开车很消耗体力。</t>
        </is>
      </c>
      <c r="H436" s="9">
        <f>G436=B436</f>
        <v/>
      </c>
    </row>
    <row r="437">
      <c r="A437" s="8" t="inlineStr">
        <is>
          <t>bài 9</t>
        </is>
      </c>
      <c r="B437" s="11" t="inlineStr">
        <is>
          <t>弥补</t>
        </is>
      </c>
      <c r="C437" s="8">
        <f>pinyin(B437)</f>
        <v/>
      </c>
      <c r="D437" s="8" t="inlineStr">
        <is>
          <t>把失去的东西补回来</t>
        </is>
      </c>
      <c r="E437" s="8" t="inlineStr">
        <is>
          <t>bù đắp</t>
        </is>
      </c>
      <c r="F437" s="8" t="inlineStr">
        <is>
          <t>希望以后有机会弥补这个遗憾。</t>
        </is>
      </c>
      <c r="H437" s="9">
        <f>G437=B437</f>
        <v/>
      </c>
    </row>
    <row r="438">
      <c r="A438" s="8" t="inlineStr">
        <is>
          <t>bài 9</t>
        </is>
      </c>
      <c r="B438" s="11" t="inlineStr">
        <is>
          <t>沸腾</t>
        </is>
      </c>
      <c r="C438" s="8">
        <f>pinyin(B438)</f>
        <v/>
      </c>
      <c r="D438" s="8" t="inlineStr">
        <is>
          <t>像开水一样翻滚</t>
        </is>
      </c>
      <c r="E438" s="8">
        <f>IFERROR(__xludf.DUMMYFUNCTION("GOOGLETRANSLATE(B438, ""zh"", ""vi"")"),"sôi")</f>
        <v/>
      </c>
      <c r="F438" s="8" t="inlineStr">
        <is>
          <t>比赛现场气氛沸腾。</t>
        </is>
      </c>
      <c r="H438" s="9">
        <f>G438=B438</f>
        <v/>
      </c>
    </row>
    <row r="439">
      <c r="A439" s="8" t="inlineStr">
        <is>
          <t>bài 9</t>
        </is>
      </c>
      <c r="B439" s="11" t="inlineStr">
        <is>
          <t>弥漫</t>
        </is>
      </c>
      <c r="C439" s="8">
        <f>pinyin(B439)</f>
        <v/>
      </c>
      <c r="D439" s="8" t="inlineStr">
        <is>
          <t>慢慢散开，到处都有</t>
        </is>
      </c>
      <c r="E439" s="8" t="inlineStr">
        <is>
          <t>lan tỏa, bao phủ</t>
        </is>
      </c>
      <c r="F439" s="8" t="inlineStr">
        <is>
          <t>空气中弥漫着花香。</t>
        </is>
      </c>
      <c r="H439" s="9">
        <f>G439=B439</f>
        <v/>
      </c>
    </row>
    <row r="440">
      <c r="A440" s="8" t="inlineStr">
        <is>
          <t>bài 9</t>
        </is>
      </c>
      <c r="B440" s="11" t="inlineStr">
        <is>
          <t>往常</t>
        </is>
      </c>
      <c r="C440" s="8">
        <f>pinyin(B440)</f>
        <v/>
      </c>
      <c r="D440" s="8" t="inlineStr">
        <is>
          <t>平时，一般情况下</t>
        </is>
      </c>
      <c r="E440" s="8">
        <f>IFERROR(__xludf.DUMMYFUNCTION("GOOGLETRANSLATE(B440, ""zh"", ""vi"")"),"Thông thường")</f>
        <v/>
      </c>
      <c r="F440" s="8" t="inlineStr">
        <is>
          <t>他和往常一样准时到达。</t>
        </is>
      </c>
      <c r="H440" s="9">
        <f>G440=B440</f>
        <v/>
      </c>
    </row>
    <row r="441">
      <c r="A441" s="8" t="inlineStr">
        <is>
          <t>bài 9</t>
        </is>
      </c>
      <c r="B441" s="11" t="inlineStr">
        <is>
          <t>安宁</t>
        </is>
      </c>
      <c r="C441" s="8">
        <f>pinyin(B441)</f>
        <v/>
      </c>
      <c r="D441" s="8" t="inlineStr">
        <is>
          <t>安静、平和，没有打扰</t>
        </is>
      </c>
      <c r="E441" s="8" t="inlineStr">
        <is>
          <t>an yên</t>
        </is>
      </c>
      <c r="F441" s="8" t="inlineStr">
        <is>
          <t>大家都希望过上安宁的生活。</t>
        </is>
      </c>
      <c r="H441" s="9">
        <f>G441=B441</f>
        <v/>
      </c>
    </row>
    <row r="442">
      <c r="A442" s="8" t="inlineStr">
        <is>
          <t>bài 10</t>
        </is>
      </c>
      <c r="B442" s="11" t="inlineStr">
        <is>
          <t>视野</t>
        </is>
      </c>
      <c r="C442" s="8">
        <f>pinyin(B442)</f>
        <v/>
      </c>
      <c r="D442" s="8" t="inlineStr">
        <is>
          <t>看东西能达到更远</t>
        </is>
      </c>
      <c r="E442" s="8">
        <f>IFERROR(__xludf.DUMMYFUNCTION("GOOGLETRANSLATE(B442, ""zh"", ""vi"")"),"tầm nhìn")</f>
        <v/>
      </c>
      <c r="F442" s="8" t="inlineStr">
        <is>
          <t>我的视野因为旅行变得更开阔了。// 阅读可以扩大我们的视野。</t>
        </is>
      </c>
      <c r="H442" s="9">
        <f>G442=B442</f>
        <v/>
      </c>
    </row>
    <row r="443">
      <c r="A443" s="8" t="inlineStr">
        <is>
          <t>bài 10</t>
        </is>
      </c>
      <c r="B443" s="11" t="inlineStr">
        <is>
          <t>饮食</t>
        </is>
      </c>
      <c r="C443" s="8">
        <f>pinyin(B443)</f>
        <v/>
      </c>
      <c r="D443" s="8" t="inlineStr">
        <is>
          <t>吃的东西和吃饭的习惯</t>
        </is>
      </c>
      <c r="E443" s="8" t="inlineStr">
        <is>
          <t>ẩm thực</t>
        </is>
      </c>
      <c r="F443" s="8" t="inlineStr">
        <is>
          <t>中国人的饮食习惯很有特色。// 合理的饮食对身体很重要。</t>
        </is>
      </c>
      <c r="H443" s="9">
        <f>G443=B443</f>
        <v/>
      </c>
    </row>
    <row r="444">
      <c r="A444" s="8" t="inlineStr">
        <is>
          <t>bài 10</t>
        </is>
      </c>
      <c r="B444" s="11" t="inlineStr">
        <is>
          <t>蕴藏</t>
        </is>
      </c>
      <c r="C444" s="8">
        <f>pinyin(B444)</f>
        <v/>
      </c>
      <c r="D444" s="8" t="inlineStr">
        <is>
          <t>里面藏着很多</t>
        </is>
      </c>
      <c r="E444" s="8" t="inlineStr">
        <is>
          <t>chứa đựng</t>
        </is>
      </c>
      <c r="F444" s="8" t="inlineStr">
        <is>
          <t>这片土地蕴藏着丰富的矿产。// 中国文化蕴藏着深厚的智慧。</t>
        </is>
      </c>
      <c r="H444" s="9">
        <f>G444=B444</f>
        <v/>
      </c>
    </row>
    <row r="445">
      <c r="A445" s="8" t="inlineStr">
        <is>
          <t>bài 10</t>
        </is>
      </c>
      <c r="B445" s="11" t="inlineStr">
        <is>
          <t>传达</t>
        </is>
      </c>
      <c r="C445" s="8">
        <f>pinyin(B445)</f>
        <v/>
      </c>
      <c r="D445" s="8" t="inlineStr">
        <is>
          <t>把信息或想法传给别人</t>
        </is>
      </c>
      <c r="E445" s="8">
        <f>IFERROR(__xludf.DUMMYFUNCTION("GOOGLETRANSLATE(B445, ""zh"", ""vi"")"),"truyền đạt")</f>
        <v/>
      </c>
      <c r="F445" s="8" t="inlineStr">
        <is>
          <t>这首歌传达了作者对家乡的感情。// 食物能传达一个民族的文化。</t>
        </is>
      </c>
      <c r="H445" s="9">
        <f>G445=B445</f>
        <v/>
      </c>
    </row>
    <row r="446">
      <c r="A446" s="8" t="inlineStr">
        <is>
          <t>bài 10</t>
        </is>
      </c>
      <c r="B446" s="11" t="inlineStr">
        <is>
          <t>鲜明</t>
        </is>
      </c>
      <c r="C446" s="8">
        <f>pinyin(B446)</f>
        <v/>
      </c>
      <c r="D446" s="8" t="inlineStr">
        <is>
          <t>很明显、很突出</t>
        </is>
      </c>
      <c r="E446" s="8">
        <f>IFERROR(__xludf.DUMMYFUNCTION("GOOGLETRANSLATE(B446, ""zh"", ""vi"")"),"sống động")</f>
        <v/>
      </c>
      <c r="F446" s="8" t="inlineStr">
        <is>
          <t>这幅画的颜色对比非常鲜明。// 他的特点是性格鲜明。</t>
        </is>
      </c>
      <c r="H446" s="9">
        <f>G446=B446</f>
        <v/>
      </c>
    </row>
    <row r="447">
      <c r="A447" s="8" t="inlineStr">
        <is>
          <t>bài 10</t>
        </is>
      </c>
      <c r="B447" s="11" t="inlineStr">
        <is>
          <t>优异</t>
        </is>
      </c>
      <c r="C447" s="8">
        <f>pinyin(B447)</f>
        <v/>
      </c>
      <c r="D447" s="8" t="inlineStr">
        <is>
          <t>特别好、成绩突出</t>
        </is>
      </c>
      <c r="E447" s="8">
        <f>IFERROR(__xludf.DUMMYFUNCTION("GOOGLETRANSLATE(B447, ""zh"", ""vi"")"),"Xuất sắc")</f>
        <v/>
      </c>
      <c r="F447" s="8" t="inlineStr">
        <is>
          <t>他这次考试取得了优异的成绩。// 运动员表现出了优异的水平。</t>
        </is>
      </c>
      <c r="H447" s="9">
        <f>G447=B447</f>
        <v/>
      </c>
    </row>
    <row r="448">
      <c r="A448" s="8" t="inlineStr">
        <is>
          <t>bài 10</t>
        </is>
      </c>
      <c r="B448" s="11" t="inlineStr">
        <is>
          <t>以至</t>
        </is>
      </c>
      <c r="C448" s="8">
        <f>pinyin(B448)</f>
        <v/>
      </c>
      <c r="D448" s="8" t="inlineStr">
        <is>
          <t>甚至到、结果导致 (好 + 坏的结果）</t>
        </is>
      </c>
      <c r="E448" s="8" t="inlineStr">
        <is>
          <t>dẫn đến</t>
        </is>
      </c>
      <c r="F448" s="8" t="inlineStr">
        <is>
          <t>他努力学习，以至忘记了吃饭。// 雨下得太大，以至道路被淹了。</t>
        </is>
      </c>
      <c r="H448" s="9">
        <f>G448=B448</f>
        <v/>
      </c>
    </row>
    <row r="449">
      <c r="A449" s="8" t="inlineStr">
        <is>
          <t>bài 10</t>
        </is>
      </c>
      <c r="B449" s="11" t="inlineStr">
        <is>
          <t>调和</t>
        </is>
      </c>
      <c r="C449" s="8">
        <f>pinyin(B449)</f>
        <v/>
      </c>
      <c r="D449" s="8" t="inlineStr">
        <is>
          <t>让不同的东西配合好, 改某个紧张的情况</t>
        </is>
      </c>
      <c r="E449" s="8">
        <f>IFERROR(__xludf.DUMMYFUNCTION("GOOGLETRANSLATE(B449, ""zh"", ""vi"")"),"hòa giải")</f>
        <v/>
      </c>
      <c r="F449" s="8" t="inlineStr">
        <is>
          <t>不同意见需要互相调和。// 这两种颜色搭配得很调和。</t>
        </is>
      </c>
      <c r="H449" s="9">
        <f>G449=B449</f>
        <v/>
      </c>
    </row>
    <row r="450">
      <c r="A450" s="8" t="inlineStr">
        <is>
          <t>bài 10</t>
        </is>
      </c>
      <c r="B450" s="11" t="inlineStr">
        <is>
          <t>辽阔</t>
        </is>
      </c>
      <c r="C450" s="8">
        <f>pinyin(B450)</f>
        <v/>
      </c>
      <c r="D450" s="8" t="inlineStr">
        <is>
          <t>面积很大、很宽广</t>
        </is>
      </c>
      <c r="E450" s="8">
        <f>IFERROR(__xludf.DUMMYFUNCTION("GOOGLETRANSLATE(B450, ""zh"", ""vi"")"),"rộng lớn")</f>
        <v/>
      </c>
      <c r="F450" s="8" t="inlineStr">
        <is>
          <t>中国地域辽阔，各地美食不同。// 辽阔的大草原一望无际。</t>
        </is>
      </c>
      <c r="H450" s="9">
        <f>G450=B450</f>
        <v/>
      </c>
    </row>
    <row r="451">
      <c r="A451" s="8" t="inlineStr">
        <is>
          <t>bài 10</t>
        </is>
      </c>
      <c r="B451" s="11" t="inlineStr">
        <is>
          <t>飞禽走兽</t>
        </is>
      </c>
      <c r="C451" s="8">
        <f>pinyin(B451)</f>
        <v/>
      </c>
      <c r="D451" s="8" t="inlineStr">
        <is>
          <t>天上飞的鸟和地上跑的动物</t>
        </is>
      </c>
      <c r="E451" s="8">
        <f>IFERROR(__xludf.DUMMYFUNCTION("GOOGLETRANSLATE(B451, ""zh"", ""vi"")"),"chim và thú")</f>
        <v/>
      </c>
      <c r="F451" s="8" t="inlineStr">
        <is>
          <t>森林里有许多飞禽走兽。// 古代人靠飞禽走兽为食。</t>
        </is>
      </c>
      <c r="H451" s="9">
        <f>G451=B451</f>
        <v/>
      </c>
    </row>
    <row r="452">
      <c r="A452" s="8" t="inlineStr">
        <is>
          <t>bài 10</t>
        </is>
      </c>
      <c r="B452" s="11" t="inlineStr">
        <is>
          <t>湖泊</t>
        </is>
      </c>
      <c r="C452" s="8">
        <f>pinyin(B452)</f>
        <v/>
      </c>
      <c r="D452" s="8" t="inlineStr">
        <is>
          <t>一片很大的水域</t>
        </is>
      </c>
      <c r="E452" s="8">
        <f>IFERROR(__xludf.DUMMYFUNCTION("GOOGLETRANSLATE(B452, ""zh"", ""vi"")"),"hồ")</f>
        <v/>
      </c>
      <c r="F452" s="8" t="inlineStr">
        <is>
          <t>这个湖泊很大很漂亮。// 湖泊周围风景优美。</t>
        </is>
      </c>
      <c r="H452" s="9">
        <f>G452=B452</f>
        <v/>
      </c>
    </row>
    <row r="453">
      <c r="A453" s="8" t="inlineStr">
        <is>
          <t>bài 10</t>
        </is>
      </c>
      <c r="B453" s="11" t="inlineStr">
        <is>
          <t>溪</t>
        </is>
      </c>
      <c r="C453" s="8">
        <f>pinyin(B453)</f>
        <v/>
      </c>
      <c r="D453" s="8" t="inlineStr">
        <is>
          <t>小河流</t>
        </is>
      </c>
      <c r="E453" s="8">
        <f>IFERROR(__xludf.DUMMYFUNCTION("GOOGLETRANSLATE(B453, ""zh"", ""vi"")"),"Suối")</f>
        <v/>
      </c>
      <c r="F453" s="8" t="inlineStr">
        <is>
          <t>小溪的水清澈见底。// 溪边有很多野花。</t>
        </is>
      </c>
      <c r="H453" s="9">
        <f>G453=B453</f>
        <v/>
      </c>
    </row>
    <row r="454">
      <c r="A454" s="8" t="inlineStr">
        <is>
          <t>bài 10</t>
        </is>
      </c>
      <c r="B454" s="11" t="inlineStr">
        <is>
          <t>丘陵</t>
        </is>
      </c>
      <c r="C454" s="8">
        <f>pinyin(B454)</f>
        <v/>
      </c>
      <c r="D454" s="8" t="inlineStr">
        <is>
          <t>不高的山地</t>
        </is>
      </c>
      <c r="E454" s="8">
        <f>IFERROR(__xludf.DUMMYFUNCTION("GOOGLETRANSLATE(B454, ""zh"", ""vi"")"),"đồi")</f>
        <v/>
      </c>
      <c r="F454" s="8" t="inlineStr">
        <is>
          <t>这里是丘陵地带，适合种茶。// 丘陵地区起伏不大。</t>
        </is>
      </c>
      <c r="H454" s="9">
        <f>G454=B454</f>
        <v/>
      </c>
    </row>
    <row r="455">
      <c r="A455" s="8" t="inlineStr">
        <is>
          <t>bài 10</t>
        </is>
      </c>
      <c r="B455" s="11" t="inlineStr">
        <is>
          <t>种植</t>
        </is>
      </c>
      <c r="C455" s="8">
        <f>pinyin(B455)</f>
        <v/>
      </c>
      <c r="D455" s="8" t="inlineStr">
        <is>
          <t>把植物种到地里</t>
        </is>
      </c>
      <c r="E455" s="8">
        <f>IFERROR(__xludf.DUMMYFUNCTION("GOOGLETRANSLATE(B455, ""zh"", ""vi"")"),"Trồng cây")</f>
        <v/>
      </c>
      <c r="F455" s="8" t="inlineStr">
        <is>
          <t>农民在田里种植蔬菜。// 这里适合种植水稻。</t>
        </is>
      </c>
      <c r="H455" s="9">
        <f>G455=B455</f>
        <v/>
      </c>
    </row>
    <row r="456">
      <c r="A456" s="8" t="inlineStr">
        <is>
          <t>bài 10</t>
        </is>
      </c>
      <c r="B456" s="11" t="inlineStr">
        <is>
          <t>即便</t>
        </is>
      </c>
      <c r="C456" s="8">
        <f>pinyin(B456)</f>
        <v/>
      </c>
      <c r="D456" s="8" t="inlineStr">
        <is>
          <t>就是…也</t>
        </is>
      </c>
      <c r="E456" s="8">
        <f>IFERROR(__xludf.DUMMYFUNCTION("GOOGLETRANSLATE(B456, ""zh"", ""vi"")"),"ngay cả khi")</f>
        <v/>
      </c>
      <c r="F456" s="8" t="inlineStr">
        <is>
          <t>即便下雨，我们也要去。// 即便失败了，也不要放弃。</t>
        </is>
      </c>
      <c r="H456" s="9">
        <f>G456=B456</f>
        <v/>
      </c>
    </row>
    <row r="457">
      <c r="A457" s="8" t="inlineStr">
        <is>
          <t>bài 10</t>
        </is>
      </c>
      <c r="B457" s="11" t="inlineStr">
        <is>
          <t>素食</t>
        </is>
      </c>
      <c r="C457" s="8">
        <f>pinyin(B457)</f>
        <v/>
      </c>
      <c r="D457" s="8" t="inlineStr">
        <is>
          <t>不吃肉类的食物</t>
        </is>
      </c>
      <c r="E457" s="8">
        <f>IFERROR(__xludf.DUMMYFUNCTION("GOOGLETRANSLATE(B457, ""zh"", ""vi"")"),"chế độ ăn chay")</f>
        <v/>
      </c>
      <c r="F457" s="8" t="inlineStr">
        <is>
          <t>他是一个素食爱好者。// 素食越来越受欢迎。</t>
        </is>
      </c>
      <c r="H457" s="9">
        <f>G457=B457</f>
        <v/>
      </c>
    </row>
    <row r="458">
      <c r="A458" s="8" t="inlineStr">
        <is>
          <t>bài 10</t>
        </is>
      </c>
      <c r="B458" s="11" t="inlineStr">
        <is>
          <t>人间</t>
        </is>
      </c>
      <c r="C458" s="8">
        <f>pinyin(B458)</f>
        <v/>
      </c>
      <c r="D458" s="8" t="inlineStr">
        <is>
          <t>人生活的世界</t>
        </is>
      </c>
      <c r="E458" s="8">
        <f>IFERROR(__xludf.DUMMYFUNCTION("GOOGLETRANSLATE(B458, ""zh"", ""vi"")"),"thế giới")</f>
        <v/>
      </c>
      <c r="F458" s="8" t="inlineStr">
        <is>
          <t>人间有许多美好的事情。// 这里简直是人间天堂。</t>
        </is>
      </c>
      <c r="H458" s="9">
        <f>G458=B458</f>
        <v/>
      </c>
    </row>
    <row r="459">
      <c r="A459" s="8" t="inlineStr">
        <is>
          <t>bài 10</t>
        </is>
      </c>
      <c r="B459" s="11" t="inlineStr">
        <is>
          <t>体系</t>
        </is>
      </c>
      <c r="C459" s="8">
        <f>pinyin(B459)</f>
        <v/>
      </c>
      <c r="D459" s="8" t="inlineStr">
        <is>
          <t>完整的组织结构</t>
        </is>
      </c>
      <c r="E459" s="8">
        <f>IFERROR(__xludf.DUMMYFUNCTION("GOOGLETRANSLATE(B459, ""zh"", ""vi"")"),"hệ thống")</f>
        <v/>
      </c>
      <c r="F459" s="8" t="inlineStr">
        <is>
          <t>教育体系需要不断完善。// 这个管理体系很完整。</t>
        </is>
      </c>
      <c r="H459" s="9">
        <f>G459=B459</f>
        <v/>
      </c>
    </row>
    <row r="460">
      <c r="A460" s="8" t="inlineStr">
        <is>
          <t>bài 10</t>
        </is>
      </c>
      <c r="B460" s="11" t="inlineStr">
        <is>
          <t>精心</t>
        </is>
      </c>
      <c r="C460" s="8">
        <f>pinyin(B460)</f>
        <v/>
      </c>
      <c r="D460" s="8" t="inlineStr">
        <is>
          <t>非常认真仔细地做</t>
        </is>
      </c>
      <c r="E460" s="8">
        <f>IFERROR(__xludf.DUMMYFUNCTION("GOOGLETRANSLATE(B460, ""zh"", ""vi"")"),"Cẩn thận")</f>
        <v/>
      </c>
      <c r="F460" s="8" t="inlineStr">
        <is>
          <t>他精心准备了今天的演讲。// 妈妈精心做了一顿饭。</t>
        </is>
      </c>
      <c r="H460" s="9">
        <f>G460=B460</f>
        <v/>
      </c>
    </row>
    <row r="461">
      <c r="A461" s="8" t="inlineStr">
        <is>
          <t>bài 10</t>
        </is>
      </c>
      <c r="B461" s="11" t="inlineStr">
        <is>
          <t>构思</t>
        </is>
      </c>
      <c r="C461" s="8">
        <f>pinyin(B461)</f>
        <v/>
      </c>
      <c r="D461" s="8" t="inlineStr">
        <is>
          <t>提前想好怎么安排</t>
        </is>
      </c>
      <c r="E461" s="8">
        <f>IFERROR(__xludf.DUMMYFUNCTION("GOOGLETRANSLATE(B461, ""zh"", ""vi"")"),"Ý tưởng")</f>
        <v/>
      </c>
      <c r="F461" s="8" t="inlineStr">
        <is>
          <t>这部电影构思非常巧妙。// 设计师正在构思新方案。</t>
        </is>
      </c>
      <c r="H461" s="9">
        <f>G461=B461</f>
        <v/>
      </c>
    </row>
    <row r="462">
      <c r="A462" s="8" t="inlineStr">
        <is>
          <t>bài 10</t>
        </is>
      </c>
      <c r="B462" s="11" t="inlineStr">
        <is>
          <t>烹饪</t>
        </is>
      </c>
      <c r="C462" s="8">
        <f>pinyin(B462)</f>
        <v/>
      </c>
      <c r="D462" s="8" t="inlineStr">
        <is>
          <t>做菜的过程</t>
        </is>
      </c>
      <c r="E462" s="8">
        <f>IFERROR(__xludf.DUMMYFUNCTION("GOOGLETRANSLATE(B462, ""zh"", ""vi"")"),"nấu ăn")</f>
        <v/>
      </c>
      <c r="F462" s="8" t="inlineStr">
        <is>
          <t>她很会烹饪中国菜。// 学习烹饪可以让人快乐。</t>
        </is>
      </c>
      <c r="H462" s="9">
        <f>G462=B462</f>
        <v/>
      </c>
    </row>
    <row r="463">
      <c r="A463" s="8" t="inlineStr">
        <is>
          <t>bài 10</t>
        </is>
      </c>
      <c r="B463" s="11" t="inlineStr">
        <is>
          <t>认可</t>
        </is>
      </c>
      <c r="C463" s="8">
        <f>pinyin(B463)</f>
        <v/>
      </c>
      <c r="D463" s="8" t="inlineStr">
        <is>
          <t>同意、接受</t>
        </is>
      </c>
      <c r="E463" s="8">
        <f>IFERROR(__xludf.DUMMYFUNCTION("GOOGLETRANSLATE(B463, ""zh"", ""vi"")"),"Sự chấp thuận")</f>
        <v/>
      </c>
      <c r="F463" s="8" t="inlineStr">
        <is>
          <t>他的想法得到了大家的认可。// 这个新产品获得了市场认可。</t>
        </is>
      </c>
      <c r="H463" s="9">
        <f>G463=B463</f>
        <v/>
      </c>
    </row>
    <row r="464">
      <c r="A464" s="8" t="inlineStr">
        <is>
          <t>bài 10</t>
        </is>
      </c>
      <c r="B464" s="11" t="inlineStr">
        <is>
          <t>形态</t>
        </is>
      </c>
      <c r="C464" s="8">
        <f>pinyin(B464)</f>
        <v/>
      </c>
      <c r="D464" s="8" t="inlineStr">
        <is>
          <t>东西的外形样子</t>
        </is>
      </c>
      <c r="E464" s="8">
        <f>IFERROR(__xludf.DUMMYFUNCTION("GOOGLETRANSLATE(B464, ""zh"", ""vi"")"),"hình thức")</f>
        <v/>
      </c>
      <c r="F464" s="8" t="inlineStr">
        <is>
          <t>云的形态千变万化。// 这种花的形态很特别。</t>
        </is>
      </c>
      <c r="H464" s="9">
        <f>G464=B464</f>
        <v/>
      </c>
    </row>
    <row r="465">
      <c r="A465" s="8" t="inlineStr">
        <is>
          <t>bài 10</t>
        </is>
      </c>
      <c r="B465" s="11" t="inlineStr">
        <is>
          <t>栽培</t>
        </is>
      </c>
      <c r="C465" s="8">
        <f>pinyin(B465)</f>
        <v/>
      </c>
      <c r="D465" s="8" t="inlineStr">
        <is>
          <t>把植物种起来养</t>
        </is>
      </c>
      <c r="E465" s="8">
        <f>IFERROR(__xludf.DUMMYFUNCTION("GOOGLETRANSLATE(B465, ""zh"", ""vi"")"),"canh tác")</f>
        <v/>
      </c>
      <c r="F465" s="8" t="inlineStr">
        <is>
          <t>他在温室里栽培了很多花。// 农民栽培了新品种水果。</t>
        </is>
      </c>
      <c r="H465" s="9">
        <f>G465=B465</f>
        <v/>
      </c>
    </row>
    <row r="466">
      <c r="A466" s="8" t="inlineStr">
        <is>
          <t>bài 10</t>
        </is>
      </c>
      <c r="B466" s="11" t="inlineStr">
        <is>
          <t xml:space="preserve">培育
</t>
        </is>
      </c>
      <c r="C466" s="8">
        <f>pinyin(B466)</f>
        <v/>
      </c>
      <c r="D466" s="8" t="inlineStr">
        <is>
          <t>培养植物或动物</t>
        </is>
      </c>
      <c r="E466" s="8">
        <f>IFERROR(__xludf.DUMMYFUNCTION("GOOGLETRANSLATE(B466, ""zh"", ""vi"")"),"Trồng trọt")</f>
        <v/>
      </c>
      <c r="F466" s="8" t="inlineStr">
        <is>
          <t>科学家培育出新品种水稻。// 老师培育了学生的兴趣。</t>
        </is>
      </c>
      <c r="H466" s="9">
        <f>G466=B466</f>
        <v/>
      </c>
    </row>
    <row r="467">
      <c r="A467" s="8" t="inlineStr">
        <is>
          <t>bài 10</t>
        </is>
      </c>
      <c r="B467" s="11" t="inlineStr">
        <is>
          <t>凡是</t>
        </is>
      </c>
      <c r="C467" s="8">
        <f>pinyin(B467)</f>
        <v/>
      </c>
      <c r="D467" s="8" t="inlineStr">
        <is>
          <t>只要是、所有的</t>
        </is>
      </c>
      <c r="E467" s="8">
        <f>IFERROR(__xludf.DUMMYFUNCTION("GOOGLETRANSLATE(B467, ""zh"", ""vi"")"),"tất cả")</f>
        <v/>
      </c>
      <c r="F467" s="8" t="inlineStr">
        <is>
          <t>凡是努力的人都会进步。// 凡是参加考试的人都要准时。</t>
        </is>
      </c>
      <c r="H467" s="9">
        <f>G467=B467</f>
        <v/>
      </c>
    </row>
    <row r="468">
      <c r="A468" s="8" t="inlineStr">
        <is>
          <t>bài 10</t>
        </is>
      </c>
      <c r="B468" s="11" t="inlineStr">
        <is>
          <t>清晰</t>
        </is>
      </c>
      <c r="C468" s="8">
        <f>pinyin(B468)</f>
        <v/>
      </c>
      <c r="D468" s="8" t="inlineStr">
        <is>
          <t>看得清楚、明白</t>
        </is>
      </c>
      <c r="E468" s="8">
        <f>IFERROR(__xludf.DUMMYFUNCTION("GOOGLETRANSLATE(B468, ""zh"", ""vi"")"),"Thông thoáng")</f>
        <v/>
      </c>
      <c r="F468" s="8" t="inlineStr">
        <is>
          <t>他的发音非常清晰。// 我清晰地记得那件事。</t>
        </is>
      </c>
      <c r="H468" s="9">
        <f>G468=B468</f>
        <v/>
      </c>
    </row>
    <row r="469">
      <c r="A469" s="8" t="inlineStr">
        <is>
          <t>bài 10</t>
        </is>
      </c>
      <c r="B469" s="11" t="inlineStr">
        <is>
          <t>分辨</t>
        </is>
      </c>
      <c r="C469" s="8">
        <f>pinyin(B469)</f>
        <v/>
      </c>
      <c r="D469" s="8" t="inlineStr">
        <is>
          <t>区分不同的事物</t>
        </is>
      </c>
      <c r="E469" s="8">
        <f>IFERROR(__xludf.DUMMYFUNCTION("GOOGLETRANSLATE(B469, ""zh"", ""vi"")"),"Phân biệt")</f>
        <v/>
      </c>
      <c r="F469" s="8" t="inlineStr">
        <is>
          <t>我很难分辨这两种颜色。// 他能分辨真假。</t>
        </is>
      </c>
      <c r="H469" s="9">
        <f>G469=B469</f>
        <v/>
      </c>
    </row>
    <row r="470">
      <c r="A470" s="8" t="inlineStr">
        <is>
          <t>bài 10</t>
        </is>
      </c>
      <c r="B470" s="11" t="inlineStr">
        <is>
          <t>区域</t>
        </is>
      </c>
      <c r="C470" s="8">
        <f>pinyin(B470)</f>
        <v/>
      </c>
      <c r="D470" s="8" t="inlineStr">
        <is>
          <t>一定的地区范围</t>
        </is>
      </c>
      <c r="E470" s="8">
        <f>IFERROR(__xludf.DUMMYFUNCTION("GOOGLETRANSLATE(B470, ""zh"", ""vi"")"),"khu vực")</f>
        <v/>
      </c>
      <c r="F470" s="8" t="inlineStr">
        <is>
          <t>这个区域发展很快。// 不同区域有不同文化。</t>
        </is>
      </c>
      <c r="H470" s="9">
        <f>G470=B470</f>
        <v/>
      </c>
    </row>
    <row r="471">
      <c r="A471" s="8" t="inlineStr">
        <is>
          <t>bài 10</t>
        </is>
      </c>
      <c r="B471" s="11" t="inlineStr">
        <is>
          <t>辉煌</t>
        </is>
      </c>
      <c r="C471" s="8">
        <f>pinyin(B471)</f>
        <v/>
      </c>
      <c r="D471" s="8" t="inlineStr">
        <is>
          <t>非常出色、光彩</t>
        </is>
      </c>
      <c r="E471" s="8">
        <f>IFERROR(__xludf.DUMMYFUNCTION("GOOGLETRANSLATE(B471, ""zh"", ""vi"")"),"xuất sắc")</f>
        <v/>
      </c>
      <c r="F471" s="8" t="inlineStr">
        <is>
          <t>中国的古代文明非常辉煌。// 他取得了辉煌的成就。</t>
        </is>
      </c>
      <c r="H471" s="9">
        <f>G471=B471</f>
        <v/>
      </c>
    </row>
    <row r="472">
      <c r="A472" s="8" t="inlineStr">
        <is>
          <t>bài 10</t>
        </is>
      </c>
      <c r="B472" s="11" t="inlineStr">
        <is>
          <t>和谐</t>
        </is>
      </c>
      <c r="C472" s="8">
        <f>pinyin(B472)</f>
        <v/>
      </c>
      <c r="D472" s="8" t="inlineStr">
        <is>
          <t>相处融洽、协调</t>
        </is>
      </c>
      <c r="E472" s="8">
        <f>IFERROR(__xludf.DUMMYFUNCTION("GOOGLETRANSLATE(B472, ""zh"", ""vi"")"),"hài hòa")</f>
        <v/>
      </c>
      <c r="F472" s="8" t="inlineStr">
        <is>
          <t>家庭成员之间要和谐相处。// 这幅画的颜色很和谐。</t>
        </is>
      </c>
      <c r="H472" s="9">
        <f>G472=B472</f>
        <v/>
      </c>
    </row>
    <row r="473">
      <c r="A473" s="8" t="inlineStr">
        <is>
          <t>bài 10</t>
        </is>
      </c>
      <c r="B473" s="11" t="inlineStr">
        <is>
          <t>继承</t>
        </is>
      </c>
      <c r="C473" s="8">
        <f>pinyin(B473)</f>
        <v/>
      </c>
      <c r="D473" s="8" t="inlineStr">
        <is>
          <t>接过前人的东西继续下去</t>
        </is>
      </c>
      <c r="E473" s="8">
        <f>IFERROR(__xludf.DUMMYFUNCTION("GOOGLETRANSLATE(B473, ""zh"", ""vi"")"),"kế thừa")</f>
        <v/>
      </c>
      <c r="F473" s="8" t="inlineStr">
        <is>
          <t>我们要继承祖先的优秀传统。// 他继承了父亲的事业。</t>
        </is>
      </c>
      <c r="H473" s="9">
        <f>G473=B473</f>
        <v/>
      </c>
    </row>
    <row r="474">
      <c r="A474" s="8" t="inlineStr">
        <is>
          <t>bài 10</t>
        </is>
      </c>
      <c r="B474" s="11" t="inlineStr">
        <is>
          <t>元素</t>
        </is>
      </c>
      <c r="C474" s="8">
        <f>pinyin(B474)</f>
        <v/>
      </c>
      <c r="D474" s="8" t="inlineStr">
        <is>
          <t>组成整体的基本部分</t>
        </is>
      </c>
      <c r="E474" s="8">
        <f>IFERROR(__xludf.DUMMYFUNCTION("GOOGLETRANSLATE(B474, ""zh"", ""vi"")"),"yếu tố")</f>
        <v/>
      </c>
      <c r="F474" s="8" t="inlineStr">
        <is>
          <t>水是生命的重要元素。// 创新是公司发展的元素。</t>
        </is>
      </c>
      <c r="H474" s="9">
        <f>G474=B474</f>
        <v/>
      </c>
    </row>
    <row r="475">
      <c r="A475" s="8" t="inlineStr">
        <is>
          <t>bài 10</t>
        </is>
      </c>
      <c r="B475" s="11" t="inlineStr">
        <is>
          <t>活力</t>
        </is>
      </c>
      <c r="C475" s="8">
        <f>pinyin(B475)</f>
        <v/>
      </c>
      <c r="D475" s="8" t="inlineStr">
        <is>
          <t>生命的力量、精神</t>
        </is>
      </c>
      <c r="E475" s="8">
        <f>IFERROR(__xludf.DUMMYFUNCTION("GOOGLETRANSLATE(B475, ""zh"", ""vi"")"),"sức sống")</f>
        <v/>
      </c>
      <c r="F475" s="8" t="inlineStr">
        <is>
          <t>年轻人充满活力。// 这座城市很有活力。</t>
        </is>
      </c>
      <c r="H475" s="9">
        <f>G475=B475</f>
        <v/>
      </c>
    </row>
    <row r="476">
      <c r="A476" s="8" t="inlineStr">
        <is>
          <t>bài 10</t>
        </is>
      </c>
      <c r="B476" s="11" t="inlineStr">
        <is>
          <t>奥秘</t>
        </is>
      </c>
      <c r="C476" s="8">
        <f>pinyin(B476)</f>
        <v/>
      </c>
      <c r="D476" s="8" t="inlineStr">
        <is>
          <t>神秘而难懂的事情</t>
        </is>
      </c>
      <c r="E476" s="8">
        <f>IFERROR(__xludf.DUMMYFUNCTION("GOOGLETRANSLATE(B476, ""zh"", ""vi"")"),"Bí ẩn")</f>
        <v/>
      </c>
      <c r="F476" s="8" t="inlineStr">
        <is>
          <t>宇宙中还有很多奥秘。// 生命的起源是一个奥秘。</t>
        </is>
      </c>
      <c r="H476" s="9">
        <f>G476=B476</f>
        <v/>
      </c>
    </row>
    <row r="477">
      <c r="A477" s="8" t="inlineStr">
        <is>
          <t>bài 10</t>
        </is>
      </c>
      <c r="B477" s="11" t="inlineStr">
        <is>
          <t>品种</t>
        </is>
      </c>
      <c r="C477" s="8">
        <f>pinyin(B477)</f>
        <v/>
      </c>
      <c r="D477" s="8" t="inlineStr">
        <is>
          <t>不同的种类</t>
        </is>
      </c>
      <c r="E477" s="8">
        <f>IFERROR(__xludf.DUMMYFUNCTION("GOOGLETRANSLATE(B477, ""zh"", ""vi"")"),"đa dạng")</f>
        <v/>
      </c>
      <c r="F477" s="8" t="inlineStr">
        <is>
          <t>超市里有各种品种的苹果。// 这个品种的米很好吃。</t>
        </is>
      </c>
      <c r="H477" s="9">
        <f>G477=B477</f>
        <v/>
      </c>
    </row>
    <row r="478">
      <c r="A478" s="8" t="inlineStr">
        <is>
          <t>bài 10</t>
        </is>
      </c>
      <c r="B478" s="11" t="inlineStr">
        <is>
          <t>频率</t>
        </is>
      </c>
      <c r="C478" s="8">
        <f>pinyin(B478)</f>
        <v/>
      </c>
      <c r="D478" s="8" t="inlineStr">
        <is>
          <t>出现的次数多少</t>
        </is>
      </c>
      <c r="E478" s="8">
        <f>IFERROR(__xludf.DUMMYFUNCTION("GOOGLETRANSLATE(B478, ""zh"", ""vi"")"),"Tính thường xuyên")</f>
        <v/>
      </c>
      <c r="F478" s="8" t="inlineStr">
        <is>
          <t>他发短信的频率很高。// 这种病发作的频率增加了。</t>
        </is>
      </c>
      <c r="H478" s="9">
        <f>G478=B478</f>
        <v/>
      </c>
    </row>
    <row r="479">
      <c r="A479" s="8" t="inlineStr">
        <is>
          <t>bài 10</t>
        </is>
      </c>
      <c r="B479" s="11" t="inlineStr">
        <is>
          <t>调料</t>
        </is>
      </c>
      <c r="C479" s="8">
        <f>pinyin(B479)</f>
        <v/>
      </c>
      <c r="D479" s="8" t="inlineStr">
        <is>
          <t>做菜时加的调味东西</t>
        </is>
      </c>
      <c r="E479" s="8">
        <f>IFERROR(__xludf.DUMMYFUNCTION("GOOGLETRANSLATE(B479, ""zh"", ""vi"")"),"gia vị")</f>
        <v/>
      </c>
      <c r="F479" s="8" t="inlineStr">
        <is>
          <t>做菜需要合适的调料。// 盐是最基本的调料。</t>
        </is>
      </c>
      <c r="H479" s="9">
        <f>G479=B479</f>
        <v/>
      </c>
    </row>
    <row r="480">
      <c r="A480" s="8" t="inlineStr">
        <is>
          <t>bài 10</t>
        </is>
      </c>
      <c r="B480" s="11" t="inlineStr">
        <is>
          <t>正宗</t>
        </is>
      </c>
      <c r="C480" s="8">
        <f>pinyin(B480)</f>
        <v/>
      </c>
      <c r="D480" s="8" t="inlineStr">
        <is>
          <t>真正原产地的、正宗的</t>
        </is>
      </c>
      <c r="E480" s="8" t="inlineStr">
        <is>
          <t>chính cống</t>
        </is>
      </c>
      <c r="F480" s="8" t="inlineStr">
        <is>
          <t>这才是正宗的四川火锅。// 他做的是正宗的意大利面。</t>
        </is>
      </c>
      <c r="H480" s="9">
        <f>G480=B480</f>
        <v/>
      </c>
    </row>
    <row r="481">
      <c r="A481" s="8" t="inlineStr">
        <is>
          <t>bài 10</t>
        </is>
      </c>
      <c r="B481" s="11" t="inlineStr">
        <is>
          <t>所在</t>
        </is>
      </c>
      <c r="C481" s="8">
        <f>pinyin(B481)</f>
        <v/>
      </c>
      <c r="D481" s="8" t="inlineStr">
        <is>
          <t>存在的位置</t>
        </is>
      </c>
      <c r="E481" s="8">
        <f>IFERROR(__xludf.DUMMYFUNCTION("GOOGLETRANSLATE(B481, ""zh"", ""vi"")"),"Vị trí")</f>
        <v/>
      </c>
      <c r="F481" s="8" t="inlineStr">
        <is>
          <t>问题的关键所在是资金。// 这就是成功的秘密所在。</t>
        </is>
      </c>
      <c r="H481" s="9">
        <f>G481=B481</f>
        <v/>
      </c>
    </row>
    <row r="482">
      <c r="A482" s="8" t="inlineStr">
        <is>
          <t>bài 10</t>
        </is>
      </c>
      <c r="B482" s="11" t="inlineStr">
        <is>
          <t>加工</t>
        </is>
      </c>
      <c r="C482" s="8">
        <f>pinyin(B482)</f>
        <v/>
      </c>
      <c r="D482" s="8" t="inlineStr">
        <is>
          <t>对原料进行处理</t>
        </is>
      </c>
      <c r="E482" s="8" t="inlineStr">
        <is>
          <t>gia công</t>
        </is>
      </c>
      <c r="F482" s="8" t="inlineStr">
        <is>
          <t>工厂正在加工原材料。// 这些水果需要加工后才能吃。</t>
        </is>
      </c>
      <c r="H482" s="9">
        <f>G482=B482</f>
        <v/>
      </c>
    </row>
    <row r="483">
      <c r="A483" s="8" t="inlineStr">
        <is>
          <t>bài 10</t>
        </is>
      </c>
      <c r="B483" s="11" t="inlineStr">
        <is>
          <t>创新</t>
        </is>
      </c>
      <c r="C483" s="8">
        <f>pinyin(B483)</f>
        <v/>
      </c>
      <c r="D483" s="8" t="inlineStr">
        <is>
          <t>创造出新的东西</t>
        </is>
      </c>
      <c r="E483" s="8">
        <f>IFERROR(__xludf.DUMMYFUNCTION("GOOGLETRANSLATE(B483, ""zh"", ""vi"")"),"Sự đổi mới")</f>
        <v/>
      </c>
      <c r="F483" s="8" t="inlineStr">
        <is>
          <t>我们要勇于创新。// 这家公司非常注重创新。</t>
        </is>
      </c>
      <c r="H483" s="9">
        <f>G483=B483</f>
        <v/>
      </c>
    </row>
    <row r="484">
      <c r="A484" s="8" t="inlineStr">
        <is>
          <t>bài 10</t>
        </is>
      </c>
      <c r="B484" s="11" t="inlineStr">
        <is>
          <t>就餐</t>
        </is>
      </c>
      <c r="C484" s="8">
        <f>pinyin(B484)</f>
        <v/>
      </c>
      <c r="D484" s="8" t="inlineStr">
        <is>
          <t>吃饭</t>
        </is>
      </c>
      <c r="E484" s="8">
        <f>IFERROR(__xludf.DUMMYFUNCTION("GOOGLETRANSLATE(B484, ""zh"", ""vi"")"),"Ăn uống")</f>
        <v/>
      </c>
      <c r="F484" s="8" t="inlineStr">
        <is>
          <t>大家正在就餐，请不要打扰。// 中国人就餐时喜欢聊天。</t>
        </is>
      </c>
      <c r="H484" s="9">
        <f>G484=B484</f>
        <v/>
      </c>
    </row>
    <row r="485">
      <c r="A485" s="8" t="inlineStr">
        <is>
          <t>bài 10</t>
        </is>
      </c>
      <c r="B485" s="11" t="inlineStr">
        <is>
          <t>照样</t>
        </is>
      </c>
      <c r="C485" s="8">
        <f>pinyin(B485)</f>
        <v/>
      </c>
      <c r="D485" s="8" t="inlineStr">
        <is>
          <t>和原来一样</t>
        </is>
      </c>
      <c r="E485" s="8" t="inlineStr">
        <is>
          <t>vẫn như thế</t>
        </is>
      </c>
      <c r="F485" s="8" t="inlineStr">
        <is>
          <t>即使失败了，他照样努力。// 虽然下雨，他照样出门跑步。</t>
        </is>
      </c>
      <c r="H485" s="9">
        <f>G485=B485</f>
        <v/>
      </c>
    </row>
    <row r="486">
      <c r="A486" s="8" t="inlineStr">
        <is>
          <t>bài 10</t>
        </is>
      </c>
      <c r="B486" s="11" t="inlineStr">
        <is>
          <t>得力</t>
        </is>
      </c>
      <c r="C486" s="8">
        <f>pinyin(B486)</f>
        <v/>
      </c>
      <c r="D486" s="8" t="inlineStr">
        <is>
          <t>因为…而成功</t>
        </is>
      </c>
      <c r="E486" s="8">
        <f>IFERROR(__xludf.DUMMYFUNCTION("GOOGLETRANSLATE(B486, ""zh"", ""vi"")"),"Cửa hàng thực phẩm")</f>
        <v/>
      </c>
      <c r="F486" s="8" t="inlineStr">
        <is>
          <t>他的成功得力于坚持不懈。// 这项成果得力于团队合作。</t>
        </is>
      </c>
      <c r="H486" s="9">
        <f>G486=B486</f>
        <v/>
      </c>
    </row>
    <row r="487">
      <c r="A487" s="8" t="inlineStr">
        <is>
          <t>bài 10</t>
        </is>
      </c>
      <c r="B487" s="11" t="inlineStr">
        <is>
          <t>内在</t>
        </is>
      </c>
      <c r="C487" s="8">
        <f>pinyin(B487)</f>
        <v/>
      </c>
      <c r="D487" s="8" t="inlineStr">
        <is>
          <t>内部本身的</t>
        </is>
      </c>
      <c r="E487" s="8">
        <f>IFERROR(__xludf.DUMMYFUNCTION("GOOGLETRANSLATE(B487, ""zh"", ""vi"")"),"Nội bộ")</f>
        <v/>
      </c>
      <c r="F487" s="8" t="inlineStr">
        <is>
          <t>内在美比外表更重要。// 要了解事物的内在规律。</t>
        </is>
      </c>
      <c r="H487" s="9">
        <f>G487=B487</f>
        <v/>
      </c>
    </row>
    <row r="488">
      <c r="A488" s="8" t="inlineStr">
        <is>
          <t>bài 10</t>
        </is>
      </c>
      <c r="B488" s="11" t="inlineStr">
        <is>
          <t>灵感</t>
        </is>
      </c>
      <c r="C488" s="8">
        <f>pinyin(B488)</f>
        <v/>
      </c>
      <c r="D488" s="8" t="inlineStr">
        <is>
          <t>突然出现的好的想法</t>
        </is>
      </c>
      <c r="E488" s="8">
        <f>IFERROR(__xludf.DUMMYFUNCTION("GOOGLETRANSLATE(B488, ""zh"", ""vi"")"),"cảm hứng")</f>
        <v/>
      </c>
      <c r="F488" s="8" t="inlineStr">
        <is>
          <t>他突然有了灵感，写出一首好诗。// 缺乏灵感的时候很难创作。</t>
        </is>
      </c>
      <c r="H488" s="9">
        <f>G488=B488</f>
        <v/>
      </c>
    </row>
    <row r="489">
      <c r="A489" s="8" t="inlineStr">
        <is>
          <t>bài 10</t>
        </is>
      </c>
      <c r="B489" s="11" t="inlineStr">
        <is>
          <t>排斥</t>
        </is>
      </c>
      <c r="C489" s="8">
        <f>pinyin(B489)</f>
        <v/>
      </c>
      <c r="D489" s="8" t="inlineStr">
        <is>
          <t>不接受、拒绝</t>
        </is>
      </c>
      <c r="E489" s="8">
        <f>IFERROR(__xludf.DUMMYFUNCTION("GOOGLETRANSLATE(B489, ""zh"", ""vi"")"),"Từ chối")</f>
        <v/>
      </c>
      <c r="F489" s="8" t="inlineStr">
        <is>
          <t>他排斥一切新事物。// 不要排斥不同的意见。</t>
        </is>
      </c>
      <c r="H489" s="9">
        <f>G489=B489</f>
        <v/>
      </c>
    </row>
    <row r="490">
      <c r="A490" s="8" t="inlineStr">
        <is>
          <t>bài 10</t>
        </is>
      </c>
      <c r="B490" s="11" t="inlineStr">
        <is>
          <t>折</t>
        </is>
      </c>
      <c r="C490" s="8">
        <f>pinyin(B490)</f>
        <v/>
      </c>
      <c r="D490" s="8" t="inlineStr">
        <is>
          <t>弯曲、叠起来</t>
        </is>
      </c>
      <c r="E490" s="8">
        <f>IFERROR(__xludf.DUMMYFUNCTION("GOOGLETRANSLATE(B490, ""zh"", ""vi"")"),"nếp gấp")</f>
        <v/>
      </c>
      <c r="F490" s="8" t="inlineStr">
        <is>
          <t>这张纸可以折成飞机。// 他把衣服折得整整齐齐。</t>
        </is>
      </c>
      <c r="H490" s="9">
        <f>G490=B490</f>
        <v/>
      </c>
    </row>
    <row r="491">
      <c r="A491" s="8" t="inlineStr">
        <is>
          <t>bài 10</t>
        </is>
      </c>
      <c r="B491" s="11" t="inlineStr">
        <is>
          <t>跪</t>
        </is>
      </c>
      <c r="C491" s="8">
        <f>pinyin(B491)</f>
        <v/>
      </c>
      <c r="D491" s="8" t="inlineStr">
        <is>
          <t>用膝盖跪在地上</t>
        </is>
      </c>
      <c r="E491" s="8">
        <f>IFERROR(__xludf.DUMMYFUNCTION("GOOGLETRANSLATE(B491, ""zh"", ""vi"")"),"quỳ xuống")</f>
        <v/>
      </c>
      <c r="F491" s="8" t="inlineStr">
        <is>
          <t>古代中国人跪坐吃饭。// 他跪下来感谢父母。</t>
        </is>
      </c>
      <c r="H491" s="9">
        <f>G491=B491</f>
        <v/>
      </c>
    </row>
    <row r="492">
      <c r="A492" s="8" t="inlineStr">
        <is>
          <t>bài 10</t>
        </is>
      </c>
      <c r="B492" s="11" t="inlineStr">
        <is>
          <t>局限</t>
        </is>
      </c>
      <c r="C492" s="8">
        <f>pinyin(B492)</f>
        <v/>
      </c>
      <c r="D492" s="8" t="inlineStr">
        <is>
          <t>被限制在一定范围内</t>
        </is>
      </c>
      <c r="E492" s="8">
        <f>IFERROR(__xludf.DUMMYFUNCTION("GOOGLETRANSLATE(B492, ""zh"", ""vi"")"),"Hạn chế")</f>
        <v/>
      </c>
      <c r="F492" s="8" t="inlineStr">
        <is>
          <t>不要局限自己的思维。// 他的发展受到了局限。</t>
        </is>
      </c>
      <c r="H492" s="9">
        <f>G492=B492</f>
        <v/>
      </c>
    </row>
    <row r="493">
      <c r="A493" s="8" t="inlineStr">
        <is>
          <t>bài 10</t>
        </is>
      </c>
      <c r="B493" s="11" t="inlineStr">
        <is>
          <t>诞生</t>
        </is>
      </c>
      <c r="C493" s="8">
        <f>pinyin(B493)</f>
        <v/>
      </c>
      <c r="D493" s="8" t="inlineStr">
        <is>
          <t>开始出现、产生</t>
        </is>
      </c>
      <c r="E493" s="8">
        <f>IFERROR(__xludf.DUMMYFUNCTION("GOOGLETRANSLATE(B493, ""zh"", ""vi"")"),"Sinh")</f>
        <v/>
      </c>
      <c r="F493" s="8" t="inlineStr">
        <is>
          <t>智能手机诞生于20世纪末。// 新思想诞生于交流中。</t>
        </is>
      </c>
      <c r="H493" s="9">
        <f>G493=B493</f>
        <v/>
      </c>
    </row>
    <row r="494">
      <c r="A494" s="8" t="inlineStr">
        <is>
          <t>bài 11</t>
        </is>
      </c>
      <c r="B494" s="11" t="inlineStr">
        <is>
          <t>流浪</t>
        </is>
      </c>
      <c r="C494" s="8">
        <f>pinyin(B494)</f>
        <v/>
      </c>
      <c r="D494" s="8" t="inlineStr">
        <is>
          <t>没有固定的家，到处生活的人</t>
        </is>
      </c>
      <c r="E494" s="8">
        <f>IFERROR(__xludf.DUMMYFUNCTION("GOOGLETRANSLATE(B494, ""zh"", ""vi"")"),"Lang thang")</f>
        <v/>
      </c>
      <c r="F494" s="8" t="inlineStr">
        <is>
          <t>他小时候流浪过一段时间。</t>
        </is>
      </c>
      <c r="H494" s="9">
        <f>G494=B494</f>
        <v/>
      </c>
    </row>
    <row r="495">
      <c r="A495" s="8" t="inlineStr">
        <is>
          <t>bài 11</t>
        </is>
      </c>
      <c r="B495" s="11" t="inlineStr">
        <is>
          <t>淋</t>
        </is>
      </c>
      <c r="C495" s="8">
        <f>pinyin(B495)</f>
        <v/>
      </c>
      <c r="D495" s="8" t="inlineStr">
        <is>
          <t>身上有水，衣服被水弄湿了</t>
        </is>
      </c>
      <c r="E495" s="8">
        <f>IFERROR(__xludf.DUMMYFUNCTION("GOOGLETRANSLATE(B495, ""zh"", ""vi"")"),"Lin")</f>
        <v/>
      </c>
      <c r="F495" s="8" t="inlineStr">
        <is>
          <t>下雨了，他全身都淋湿了。</t>
        </is>
      </c>
      <c r="H495" s="9">
        <f>G495=B495</f>
        <v/>
      </c>
    </row>
    <row r="496">
      <c r="A496" s="8" t="inlineStr">
        <is>
          <t>bài 11</t>
        </is>
      </c>
      <c r="B496" s="11" t="inlineStr">
        <is>
          <t>拜访</t>
        </is>
      </c>
      <c r="C496" s="8">
        <f>pinyin(B496)</f>
        <v/>
      </c>
      <c r="D496" s="8" t="inlineStr">
        <is>
          <t>到别人家里去看望别人</t>
        </is>
      </c>
      <c r="E496" s="8" t="inlineStr">
        <is>
          <t>ghé thăm</t>
        </is>
      </c>
      <c r="F496" s="8" t="inlineStr">
        <is>
          <t>周末我去拜访了老师。</t>
        </is>
      </c>
      <c r="H496" s="9">
        <f>G496=B496</f>
        <v/>
      </c>
    </row>
    <row r="497">
      <c r="A497" s="8" t="inlineStr">
        <is>
          <t>bài 11</t>
        </is>
      </c>
      <c r="B497" s="11" t="inlineStr">
        <is>
          <t>见多识广</t>
        </is>
      </c>
      <c r="C497" s="8">
        <f>pinyin(B497)</f>
        <v/>
      </c>
      <c r="D497" s="8" t="inlineStr">
        <is>
          <t>看过很多地方、经历过很多事情</t>
        </is>
      </c>
      <c r="E497" s="8" t="inlineStr">
        <is>
          <t xml:space="preserve">hiểu biết nhiều và nhìn xa trông rộng </t>
        </is>
      </c>
      <c r="F497" s="8" t="inlineStr">
        <is>
          <t>爷爷去过很多国家，见多识广。</t>
        </is>
      </c>
      <c r="H497" s="9">
        <f>G497=B497</f>
        <v/>
      </c>
    </row>
    <row r="498">
      <c r="A498" s="8" t="inlineStr">
        <is>
          <t>bài 11</t>
        </is>
      </c>
      <c r="B498" s="11" t="inlineStr">
        <is>
          <t>教养</t>
        </is>
      </c>
      <c r="C498" s="8">
        <f>pinyin(B498)</f>
        <v/>
      </c>
      <c r="D498" s="8" t="inlineStr">
        <is>
          <t>对别人有礼貌，会考虑别人的感受</t>
        </is>
      </c>
      <c r="E498" s="8">
        <f>IFERROR(__xludf.DUMMYFUNCTION("GOOGLETRANSLATE(B498, ""zh"", ""vi"")"),"sự nuôi dạy")</f>
        <v/>
      </c>
      <c r="F498" s="8" t="inlineStr">
        <is>
          <t>有教养的人说话很有礼貌。</t>
        </is>
      </c>
      <c r="H498" s="9">
        <f>G498=B498</f>
        <v/>
      </c>
    </row>
    <row r="499">
      <c r="A499" s="8" t="inlineStr">
        <is>
          <t>bài 11</t>
        </is>
      </c>
      <c r="B499" s="11" t="inlineStr">
        <is>
          <t>懒惰</t>
        </is>
      </c>
      <c r="C499" s="8">
        <f>pinyin(B499)</f>
        <v/>
      </c>
      <c r="D499" s="8" t="inlineStr">
        <is>
          <t>该做的事不愿意做，总想休息</t>
        </is>
      </c>
      <c r="E499" s="8">
        <f>IFERROR(__xludf.DUMMYFUNCTION("GOOGLETRANSLATE(B499, ""zh"", ""vi"")"),"Lười")</f>
        <v/>
      </c>
      <c r="F499" s="8" t="inlineStr">
        <is>
          <t>他太懒惰了，连房间都不收拾。</t>
        </is>
      </c>
      <c r="H499" s="9">
        <f>G499=B499</f>
        <v/>
      </c>
    </row>
    <row r="500">
      <c r="A500" s="8" t="inlineStr">
        <is>
          <t>bài 11</t>
        </is>
      </c>
      <c r="B500" s="11" t="inlineStr">
        <is>
          <t>馋</t>
        </is>
      </c>
      <c r="C500" s="8">
        <f>pinyin(B500)</f>
        <v/>
      </c>
      <c r="D500" s="8" t="inlineStr">
        <is>
          <t>总想吃东西，看见好吃的就想吃</t>
        </is>
      </c>
      <c r="E500" s="8" t="inlineStr">
        <is>
          <t>thèm</t>
        </is>
      </c>
      <c r="F500" s="8" t="inlineStr">
        <is>
          <t>弟弟很馋，一看见蛋糕就想吃。</t>
        </is>
      </c>
      <c r="H500" s="9">
        <f>G500=B500</f>
        <v/>
      </c>
    </row>
    <row r="501">
      <c r="A501" s="8" t="inlineStr">
        <is>
          <t>bài 11</t>
        </is>
      </c>
      <c r="B501" s="11" t="inlineStr">
        <is>
          <t>亲热</t>
        </is>
      </c>
      <c r="C501" s="8">
        <f>pinyin(B501)</f>
        <v/>
      </c>
      <c r="D501" s="8" t="inlineStr">
        <is>
          <t>像家人一样靠得很近，很自然地相处</t>
        </is>
      </c>
      <c r="E501" s="8" t="inlineStr">
        <is>
          <t>nhiệt tình thân thiết</t>
        </is>
      </c>
      <c r="F501" s="8" t="inlineStr">
        <is>
          <t>小猫一见到主人就特别亲热。</t>
        </is>
      </c>
      <c r="H501" s="9">
        <f>G501=B501</f>
        <v/>
      </c>
    </row>
    <row r="502">
      <c r="A502" s="8" t="inlineStr">
        <is>
          <t>bài 11</t>
        </is>
      </c>
      <c r="B502" s="11" t="inlineStr">
        <is>
          <t>统统</t>
        </is>
      </c>
      <c r="C502" s="8">
        <f>pinyin(B502)</f>
        <v/>
      </c>
      <c r="D502" s="8" t="inlineStr">
        <is>
          <t>一个也不留，全部都包括进去</t>
        </is>
      </c>
      <c r="E502" s="8">
        <f>IFERROR(__xludf.DUMMYFUNCTION("GOOGLETRANSLATE(B502, ""zh"", ""vi"")"),"tất cả")</f>
        <v/>
      </c>
      <c r="F502" s="8" t="inlineStr">
        <is>
          <t>这些水果统统都是给你的。</t>
        </is>
      </c>
      <c r="H502" s="9">
        <f>G502=B502</f>
        <v/>
      </c>
    </row>
    <row r="503">
      <c r="A503" s="8" t="inlineStr">
        <is>
          <t>bài 11</t>
        </is>
      </c>
      <c r="B503" s="11" t="inlineStr">
        <is>
          <t>迷人</t>
        </is>
      </c>
      <c r="C503" s="8">
        <f>pinyin(B503)</f>
        <v/>
      </c>
      <c r="D503" s="8" t="inlineStr">
        <is>
          <t>让人觉得很有吸引力</t>
        </is>
      </c>
      <c r="E503" s="8">
        <f>IFERROR(__xludf.DUMMYFUNCTION("GOOGLETRANSLATE(B503, ""zh"", ""vi"")"),"quyến rũ")</f>
        <v/>
      </c>
      <c r="F503" s="8" t="inlineStr">
        <is>
          <t>这里的夜景非常迷人。</t>
        </is>
      </c>
      <c r="H503" s="9">
        <f>G503=B503</f>
        <v/>
      </c>
    </row>
    <row r="504">
      <c r="A504" s="8" t="inlineStr">
        <is>
          <t>bài 11</t>
        </is>
      </c>
      <c r="B504" s="11" t="inlineStr">
        <is>
          <t>模范</t>
        </is>
      </c>
      <c r="C504" s="8">
        <f>pinyin(B504)</f>
        <v/>
      </c>
      <c r="D504" s="8" t="inlineStr">
        <is>
          <t>做得很好，能给别人学习的人或事物</t>
        </is>
      </c>
      <c r="E504" s="8" t="inlineStr">
        <is>
          <t>hình mẫu</t>
        </is>
      </c>
      <c r="F504" s="8" t="inlineStr">
        <is>
          <t>她是大家学习的模范。</t>
        </is>
      </c>
      <c r="H504" s="9">
        <f>G504=B504</f>
        <v/>
      </c>
    </row>
    <row r="505">
      <c r="A505" s="8" t="inlineStr">
        <is>
          <t>bài 11</t>
        </is>
      </c>
      <c r="B505" s="11" t="inlineStr">
        <is>
          <t>饲养</t>
        </is>
      </c>
      <c r="C505" s="8">
        <f>pinyin(B505)</f>
        <v/>
      </c>
      <c r="D505" s="8" t="inlineStr">
        <is>
          <t>照顾动物，让它们长大</t>
        </is>
      </c>
      <c r="E505" s="8">
        <f>IFERROR(__xludf.DUMMYFUNCTION("GOOGLETRANSLATE(B505, ""zh"", ""vi"")"),"chăn nuôi")</f>
        <v/>
      </c>
      <c r="F505" s="8" t="inlineStr">
        <is>
          <t>他从小饲养小动物。</t>
        </is>
      </c>
      <c r="H505" s="9">
        <f>G505=B505</f>
        <v/>
      </c>
    </row>
    <row r="506">
      <c r="A506" s="8" t="inlineStr">
        <is>
          <t>bài 11</t>
        </is>
      </c>
      <c r="B506" s="11" t="inlineStr">
        <is>
          <t>清洁</t>
        </is>
      </c>
      <c r="C506" s="8">
        <f>pinyin(B506)</f>
        <v/>
      </c>
      <c r="D506" s="8" t="inlineStr">
        <is>
          <t>把脏东西弄干净</t>
        </is>
      </c>
      <c r="E506" s="8">
        <f>IFERROR(__xludf.DUMMYFUNCTION("GOOGLETRANSLATE(B506, ""zh"", ""vi"")"),"lau dọn")</f>
        <v/>
      </c>
      <c r="F506" s="8" t="inlineStr">
        <is>
          <t>妈妈每天都把房间打扫得很清洁。</t>
        </is>
      </c>
      <c r="H506" s="9">
        <f>G506=B506</f>
        <v/>
      </c>
    </row>
    <row r="507">
      <c r="A507" s="8" t="inlineStr">
        <is>
          <t>bài 11</t>
        </is>
      </c>
      <c r="B507" s="11" t="inlineStr">
        <is>
          <t>喂</t>
        </is>
      </c>
      <c r="C507" s="8">
        <f>pinyin(B507)</f>
        <v/>
      </c>
      <c r="D507" s="8" t="inlineStr">
        <is>
          <t>把食物送到嘴边让人或动物吃</t>
        </is>
      </c>
      <c r="E507" s="8">
        <f>IFERROR(__xludf.DUMMYFUNCTION("GOOGLETRANSLATE(B507, ""zh"", ""vi"")"),"Xin chào")</f>
        <v/>
      </c>
      <c r="F507" s="8" t="inlineStr">
        <is>
          <t>爷爷正在喂小鸟吃东西。</t>
        </is>
      </c>
      <c r="H507" s="9">
        <f>G507=B507</f>
        <v/>
      </c>
    </row>
    <row r="508">
      <c r="A508" s="8" t="inlineStr">
        <is>
          <t>bài 11</t>
        </is>
      </c>
      <c r="B508" s="11" t="inlineStr">
        <is>
          <t>操纵</t>
        </is>
      </c>
      <c r="C508" s="8">
        <f>pinyin(B508)</f>
        <v/>
      </c>
      <c r="D508" s="8" t="inlineStr">
        <is>
          <t>用手或工具控制东西怎么动</t>
        </is>
      </c>
      <c r="E508" s="8" t="inlineStr">
        <is>
          <t>điều khiển</t>
        </is>
      </c>
      <c r="F508" s="8" t="inlineStr">
        <is>
          <t>他正在操纵这台机器。</t>
        </is>
      </c>
      <c r="H508" s="9">
        <f>G508=B508</f>
        <v/>
      </c>
    </row>
    <row r="509">
      <c r="A509" s="8" t="inlineStr">
        <is>
          <t>bài 11</t>
        </is>
      </c>
      <c r="B509" s="11" t="inlineStr">
        <is>
          <t>跟踪</t>
        </is>
      </c>
      <c r="C509" s="8">
        <f>pinyin(B509)</f>
        <v/>
      </c>
      <c r="D509" s="8" t="inlineStr">
        <is>
          <t>一直跟在后面，看看去了哪里</t>
        </is>
      </c>
      <c r="E509" s="8">
        <f>IFERROR(__xludf.DUMMYFUNCTION("GOOGLETRANSLATE(B509, ""zh"", ""vi"")"),"theo dõi")</f>
        <v/>
      </c>
      <c r="F509" s="8" t="inlineStr">
        <is>
          <t>警察一直在跟踪那个可疑的人。</t>
        </is>
      </c>
      <c r="H509" s="9">
        <f>G509=B509</f>
        <v/>
      </c>
    </row>
    <row r="510">
      <c r="A510" s="8" t="inlineStr">
        <is>
          <t>bài 11</t>
        </is>
      </c>
      <c r="B510" s="11" t="inlineStr">
        <is>
          <t>角落</t>
        </is>
      </c>
      <c r="C510" s="8">
        <f>pinyin(B510)</f>
        <v/>
      </c>
      <c r="D510" s="8" t="inlineStr">
        <is>
          <t>不容易看见，不显眼的地方</t>
        </is>
      </c>
      <c r="E510" s="8" t="inlineStr">
        <is>
          <t>ngóc ngách</t>
        </is>
      </c>
      <c r="F510" s="8" t="inlineStr">
        <is>
          <t>那只小猫躲在角落里。</t>
        </is>
      </c>
      <c r="H510" s="9">
        <f>G510=B510</f>
        <v/>
      </c>
    </row>
    <row r="511">
      <c r="A511" s="8" t="inlineStr">
        <is>
          <t>bài 11</t>
        </is>
      </c>
      <c r="B511" s="11" t="inlineStr">
        <is>
          <t>误差</t>
        </is>
      </c>
      <c r="C511" s="8">
        <f>pinyin(B511)</f>
        <v/>
      </c>
      <c r="D511" s="8" t="inlineStr">
        <is>
          <t>结果和实际情况不完全一样</t>
        </is>
      </c>
      <c r="E511" s="8" t="inlineStr">
        <is>
          <t>sai số</t>
        </is>
      </c>
      <c r="F511" s="8" t="inlineStr">
        <is>
          <t>这次计算有一点儿误差。</t>
        </is>
      </c>
      <c r="H511" s="9">
        <f>G511=B511</f>
        <v/>
      </c>
    </row>
    <row r="512">
      <c r="A512" s="8" t="inlineStr">
        <is>
          <t>bài 11</t>
        </is>
      </c>
      <c r="B512" s="11" t="inlineStr">
        <is>
          <t>踪迹</t>
        </is>
      </c>
      <c r="C512" s="8">
        <f>pinyin(B512)</f>
        <v/>
      </c>
      <c r="D512" s="8" t="inlineStr">
        <is>
          <t>走过后留下的痕迹</t>
        </is>
      </c>
      <c r="E512" s="8">
        <f>IFERROR(__xludf.DUMMYFUNCTION("GOOGLETRANSLATE(B512, ""zh"", ""vi"")"),"dấu vết")</f>
        <v/>
      </c>
      <c r="F512" s="8" t="inlineStr">
        <is>
          <t>警察发现了小偷的踪迹。</t>
        </is>
      </c>
      <c r="H512" s="9">
        <f>G512=B512</f>
        <v/>
      </c>
    </row>
    <row r="513">
      <c r="A513" s="8" t="inlineStr">
        <is>
          <t>bài 11</t>
        </is>
      </c>
      <c r="B513" s="11" t="inlineStr">
        <is>
          <t>动静</t>
        </is>
      </c>
      <c r="C513" s="8">
        <f>pinyin(B513)</f>
        <v/>
      </c>
      <c r="D513" s="8" t="inlineStr">
        <is>
          <t>有没有声音、有没有事情发生</t>
        </is>
      </c>
      <c r="E513" s="8">
        <f>IFERROR(__xludf.DUMMYFUNCTION("GOOGLETRANSLATE(B513, ""zh"", ""vi"")"),"sự chuyển động")</f>
        <v/>
      </c>
      <c r="F513" s="8" t="inlineStr">
        <is>
          <t>外面一点儿动静也没有。</t>
        </is>
      </c>
      <c r="H513" s="9">
        <f>G513=B513</f>
        <v/>
      </c>
    </row>
    <row r="514">
      <c r="A514" s="8" t="inlineStr">
        <is>
          <t>bài 11</t>
        </is>
      </c>
      <c r="B514" s="11" t="inlineStr">
        <is>
          <t>操作</t>
        </is>
      </c>
      <c r="C514" s="8">
        <f>pinyin(B514)</f>
        <v/>
      </c>
      <c r="D514" s="8" t="inlineStr">
        <is>
          <t>按照方法使用机器或设备</t>
        </is>
      </c>
      <c r="E514" s="8">
        <f>IFERROR(__xludf.DUMMYFUNCTION("GOOGLETRANSLATE(B514, ""zh"", ""vi"")"),"vận hành")</f>
        <v/>
      </c>
      <c r="F514" s="8" t="inlineStr">
        <is>
          <t>他已经学会操作电脑了。</t>
        </is>
      </c>
      <c r="H514" s="9">
        <f>G514=B514</f>
        <v/>
      </c>
    </row>
    <row r="515">
      <c r="A515" s="8" t="inlineStr">
        <is>
          <t>bài 11</t>
        </is>
      </c>
      <c r="B515" s="11" t="inlineStr">
        <is>
          <t>凝视</t>
        </is>
      </c>
      <c r="C515" s="8">
        <f>pinyin(B515)</f>
        <v/>
      </c>
      <c r="D515" s="8" t="inlineStr">
        <is>
          <t>长时间认真地看着</t>
        </is>
      </c>
      <c r="E515" s="8">
        <f>IFERROR(__xludf.DUMMYFUNCTION("GOOGLETRANSLATE(B515, ""zh"", ""vi"")"),"ánh nhìn")</f>
        <v/>
      </c>
      <c r="F515" s="8" t="inlineStr">
        <is>
          <t>她凝视着远方的大海。</t>
        </is>
      </c>
      <c r="H515" s="9">
        <f>G515=B515</f>
        <v/>
      </c>
    </row>
    <row r="516">
      <c r="A516" s="8" t="inlineStr">
        <is>
          <t>bài 11</t>
        </is>
      </c>
      <c r="B516" s="11" t="inlineStr">
        <is>
          <t>深沉</t>
        </is>
      </c>
      <c r="C516" s="8">
        <f>pinyin(B516)</f>
        <v/>
      </c>
      <c r="D516" s="8" t="inlineStr">
        <is>
          <t>心里想得很多，不轻易表现出来</t>
        </is>
      </c>
      <c r="E516" s="8">
        <f>IFERROR(__xludf.DUMMYFUNCTION("GOOGLETRANSLATE(B516, ""zh"", ""vi"")"),"sâu")</f>
        <v/>
      </c>
      <c r="F516" s="8" t="inlineStr">
        <is>
          <t>他说话的声音很深沉。</t>
        </is>
      </c>
      <c r="H516" s="9">
        <f>G516=B516</f>
        <v/>
      </c>
    </row>
    <row r="517">
      <c r="A517" s="8" t="inlineStr">
        <is>
          <t>bài 11</t>
        </is>
      </c>
      <c r="B517" s="11" t="inlineStr">
        <is>
          <t>监视</t>
        </is>
      </c>
      <c r="C517" s="8">
        <f>pinyin(B517)</f>
        <v/>
      </c>
      <c r="D517" s="8" t="inlineStr">
        <is>
          <t>在旁边一直看着别人做什么</t>
        </is>
      </c>
      <c r="E517" s="8">
        <f>IFERROR(__xludf.DUMMYFUNCTION("GOOGLETRANSLATE(B517, ""zh"", ""vi"")"),"Giám sát")</f>
        <v/>
      </c>
      <c r="F517" s="8" t="inlineStr">
        <is>
          <t>工作人员正在监视现场情况。</t>
        </is>
      </c>
      <c r="H517" s="9">
        <f>G517=B517</f>
        <v/>
      </c>
    </row>
    <row r="518">
      <c r="A518" s="8" t="inlineStr">
        <is>
          <t>bài 11</t>
        </is>
      </c>
      <c r="B518" s="11" t="inlineStr">
        <is>
          <t>举动</t>
        </is>
      </c>
      <c r="C518" s="8">
        <f>pinyin(B518)</f>
        <v/>
      </c>
      <c r="D518" s="8" t="inlineStr">
        <is>
          <t>做出来的动作或行为</t>
        </is>
      </c>
      <c r="E518" s="8">
        <f>IFERROR(__xludf.DUMMYFUNCTION("GOOGLETRANSLATE(B518, ""zh"", ""vi"")"),"di chuyển")</f>
        <v/>
      </c>
      <c r="F518" s="8" t="inlineStr">
        <is>
          <t>他的举动让大家很吃惊。</t>
        </is>
      </c>
      <c r="H518" s="9">
        <f>G518=B518</f>
        <v/>
      </c>
    </row>
    <row r="519">
      <c r="A519" s="8" t="inlineStr">
        <is>
          <t>bài 11</t>
        </is>
      </c>
      <c r="B519" s="11" t="inlineStr">
        <is>
          <t>繁忙</t>
        </is>
      </c>
      <c r="C519" s="8">
        <f>pinyin(B519)</f>
        <v/>
      </c>
      <c r="D519" s="8" t="inlineStr">
        <is>
          <t>事情很多，没有空闲时间</t>
        </is>
      </c>
      <c r="E519" s="8">
        <f>IFERROR(__xludf.DUMMYFUNCTION("GOOGLETRANSLATE(B519, ""zh"", ""vi"")"),"bận")</f>
        <v/>
      </c>
      <c r="F519" s="8" t="inlineStr">
        <is>
          <t>最近工作特别繁忙。</t>
        </is>
      </c>
      <c r="H519" s="9">
        <f>G519=B519</f>
        <v/>
      </c>
    </row>
    <row r="520">
      <c r="A520" s="8" t="inlineStr">
        <is>
          <t>bài 11</t>
        </is>
      </c>
      <c r="B520" s="11" t="inlineStr">
        <is>
          <t>急切</t>
        </is>
      </c>
      <c r="C520" s="8">
        <f>pinyin(B520)</f>
        <v/>
      </c>
      <c r="D520" s="8" t="inlineStr">
        <is>
          <t>心里很想马上做到某件事</t>
        </is>
      </c>
      <c r="E520" s="8">
        <f>IFERROR(__xludf.DUMMYFUNCTION("GOOGLETRANSLATE(B520, ""zh"", ""vi"")"),"háo hức")</f>
        <v/>
      </c>
      <c r="F520" s="8" t="inlineStr">
        <is>
          <t>大家都在急切地等消息。</t>
        </is>
      </c>
      <c r="H520" s="9">
        <f>G520=B520</f>
        <v/>
      </c>
    </row>
    <row r="521">
      <c r="A521" s="8" t="inlineStr">
        <is>
          <t>bài 11</t>
        </is>
      </c>
      <c r="B521" s="11" t="inlineStr">
        <is>
          <t>例外</t>
        </is>
      </c>
      <c r="C521" s="8">
        <f>pinyin(B521)</f>
        <v/>
      </c>
      <c r="D521" s="8" t="inlineStr">
        <is>
          <t>和一般情况不一样的情况</t>
        </is>
      </c>
      <c r="E521" s="8">
        <f>IFERROR(__xludf.DUMMYFUNCTION("GOOGLETRANSLATE(B521, ""zh"", ""vi"")"),"ngoại lệ")</f>
        <v/>
      </c>
      <c r="F521" s="8" t="inlineStr">
        <is>
          <t>这次是个例外。</t>
        </is>
      </c>
      <c r="H521" s="9">
        <f>G521=B521</f>
        <v/>
      </c>
    </row>
    <row r="522">
      <c r="A522" s="8" t="inlineStr">
        <is>
          <t>bài 11</t>
        </is>
      </c>
      <c r="B522" s="11" t="inlineStr">
        <is>
          <t>趴</t>
        </is>
      </c>
      <c r="C522" s="8">
        <f>pinyin(B522)</f>
        <v/>
      </c>
      <c r="D522" s="8" t="inlineStr">
        <is>
          <t>身体贴着地面或别的东西不动</t>
        </is>
      </c>
      <c r="E522" s="8">
        <f>IFERROR(__xludf.DUMMYFUNCTION("GOOGLETRANSLATE(B522, ""zh"", ""vi"")"),"nói dối")</f>
        <v/>
      </c>
      <c r="F522" s="8" t="inlineStr">
        <is>
          <t>小狗趴在地上睡觉。</t>
        </is>
      </c>
      <c r="H522" s="9">
        <f>G522=B522</f>
        <v/>
      </c>
    </row>
    <row r="523">
      <c r="A523" s="8" t="inlineStr">
        <is>
          <t>bài 11</t>
        </is>
      </c>
      <c r="B523" s="11" t="inlineStr">
        <is>
          <t>知足常乐</t>
        </is>
      </c>
      <c r="C523" s="8">
        <f>pinyin(B523)</f>
        <v/>
      </c>
      <c r="D523" s="8" t="inlineStr">
        <is>
          <t>知道自己已经拥有很多，不总想着得到更多</t>
        </is>
      </c>
      <c r="E523" s="8">
        <f>IFERROR(__xludf.DUMMYFUNCTION("GOOGLETRANSLATE(B523, ""zh"", ""vi"")"),"Sự mãn nguyện mang lại hạnh phúc")</f>
        <v/>
      </c>
      <c r="F523" s="8" t="inlineStr">
        <is>
          <t>爷爷常说知足常乐。</t>
        </is>
      </c>
      <c r="H523" s="9">
        <f>G523=B523</f>
        <v/>
      </c>
    </row>
    <row r="524">
      <c r="A524" s="8" t="inlineStr">
        <is>
          <t>bài 11</t>
        </is>
      </c>
      <c r="B524" s="11" t="inlineStr">
        <is>
          <t>恭敬</t>
        </is>
      </c>
      <c r="C524" s="8">
        <f>pinyin(B524)</f>
        <v/>
      </c>
      <c r="D524" s="8" t="inlineStr">
        <is>
          <t>对别人很有礼貌，很尊重别人</t>
        </is>
      </c>
      <c r="E524" s="8" t="inlineStr">
        <is>
          <t>cung kính</t>
        </is>
      </c>
      <c r="F524" s="8" t="inlineStr">
        <is>
          <t>学生恭敬地向老师问好。</t>
        </is>
      </c>
      <c r="H524" s="9">
        <f>G524=B524</f>
        <v/>
      </c>
    </row>
    <row r="525">
      <c r="A525" s="8" t="inlineStr">
        <is>
          <t>bài 11</t>
        </is>
      </c>
      <c r="B525" s="11" t="inlineStr">
        <is>
          <t>君子</t>
        </is>
      </c>
      <c r="C525" s="8">
        <f>pinyin(B525)</f>
        <v/>
      </c>
      <c r="D525" s="8" t="inlineStr">
        <is>
          <t>品德好、做事正直的人</t>
        </is>
      </c>
      <c r="E525" s="8">
        <f>IFERROR(__xludf.DUMMYFUNCTION("GOOGLETRANSLATE(B525, ""zh"", ""vi"")"),"quý ông")</f>
        <v/>
      </c>
      <c r="F525" s="8" t="inlineStr">
        <is>
          <t>他是一位真正的君子。</t>
        </is>
      </c>
      <c r="H525" s="9">
        <f>G525=B525</f>
        <v/>
      </c>
    </row>
    <row r="526">
      <c r="A526" s="8" t="inlineStr">
        <is>
          <t>bài 11</t>
        </is>
      </c>
      <c r="B526" s="11" t="inlineStr">
        <is>
          <t>嗅觉</t>
        </is>
      </c>
      <c r="C526" s="8">
        <f>pinyin(B526)</f>
        <v/>
      </c>
      <c r="D526" s="8" t="inlineStr">
        <is>
          <t>用鼻子分辨气味的能力</t>
        </is>
      </c>
      <c r="E526" s="8">
        <f>IFERROR(__xludf.DUMMYFUNCTION("GOOGLETRANSLATE(B526, ""zh"", ""vi"")"),"Khứu giác")</f>
        <v/>
      </c>
      <c r="F526" s="8" t="inlineStr">
        <is>
          <t>狗的嗅觉非常厉害。</t>
        </is>
      </c>
      <c r="H526" s="9">
        <f>G526=B526</f>
        <v/>
      </c>
    </row>
    <row r="527">
      <c r="A527" s="8" t="inlineStr">
        <is>
          <t>bài 11</t>
        </is>
      </c>
      <c r="B527" s="11" t="inlineStr">
        <is>
          <t>灵敏</t>
        </is>
      </c>
      <c r="C527" s="8">
        <f>pinyin(B527)</f>
        <v/>
      </c>
      <c r="D527" s="8" t="inlineStr">
        <is>
          <t>发现变化很快，反应很快</t>
        </is>
      </c>
      <c r="E527" s="8">
        <f>IFERROR(__xludf.DUMMYFUNCTION("GOOGLETRANSLATE(B527, ""zh"", ""vi"")"),"Nhạy cảm")</f>
        <v/>
      </c>
      <c r="F527" s="8" t="inlineStr">
        <is>
          <t>她很灵敏，很快就发现了问题。</t>
        </is>
      </c>
      <c r="H527" s="9">
        <f>G527=B527</f>
        <v/>
      </c>
    </row>
    <row r="528">
      <c r="A528" s="8" t="inlineStr">
        <is>
          <t>bài 11</t>
        </is>
      </c>
      <c r="B528" s="11" t="inlineStr">
        <is>
          <t>敏捷</t>
        </is>
      </c>
      <c r="C528" s="8">
        <f>pinyin(B528)</f>
        <v/>
      </c>
      <c r="D528" s="8" t="inlineStr">
        <is>
          <t>动作很快，不拖拉</t>
        </is>
      </c>
      <c r="E528" s="8">
        <f>IFERROR(__xludf.DUMMYFUNCTION("GOOGLETRANSLATE(B528, ""zh"", ""vi"")"),"linh hoạt")</f>
        <v/>
      </c>
      <c r="F528" s="8" t="inlineStr">
        <is>
          <t>猴子的动作十分敏捷。</t>
        </is>
      </c>
      <c r="H528" s="9">
        <f>G528=B528</f>
        <v/>
      </c>
    </row>
    <row r="529">
      <c r="A529" s="8" t="inlineStr">
        <is>
          <t>bài 11</t>
        </is>
      </c>
      <c r="B529" s="11" t="inlineStr">
        <is>
          <t>快活</t>
        </is>
      </c>
      <c r="C529" s="8">
        <f>pinyin(B529)</f>
        <v/>
      </c>
      <c r="D529" s="8" t="inlineStr">
        <is>
          <t>心里高兴，过得开心</t>
        </is>
      </c>
      <c r="E529" s="8">
        <f>IFERROR(__xludf.DUMMYFUNCTION("GOOGLETRANSLATE(B529, ""zh"", ""vi"")"),"vui mừng")</f>
        <v/>
      </c>
      <c r="F529" s="8" t="inlineStr">
        <is>
          <t>孩子们玩得很快活。</t>
        </is>
      </c>
      <c r="H529" s="9">
        <f>G529=B529</f>
        <v/>
      </c>
    </row>
    <row r="530">
      <c r="A530" s="8" t="inlineStr">
        <is>
          <t>bài 11</t>
        </is>
      </c>
      <c r="B530" s="11" t="inlineStr">
        <is>
          <t>扑</t>
        </is>
      </c>
      <c r="C530" s="8">
        <f>pinyin(B530)</f>
        <v/>
      </c>
      <c r="D530" s="8" t="inlineStr">
        <is>
          <t>一下子冲过去，用身体靠近目标</t>
        </is>
      </c>
      <c r="E530" s="8" t="inlineStr">
        <is>
          <t>vồ, nhào, lao</t>
        </is>
      </c>
      <c r="F530" s="8" t="inlineStr">
        <is>
          <t>小猫一下子扑到了主人怀里。</t>
        </is>
      </c>
      <c r="H530" s="9">
        <f>G530=B530</f>
        <v/>
      </c>
    </row>
    <row r="531">
      <c r="A531" s="8" t="inlineStr">
        <is>
          <t>bài 11</t>
        </is>
      </c>
      <c r="B531" s="11" t="inlineStr">
        <is>
          <t>缺陷</t>
        </is>
      </c>
      <c r="C531" s="8">
        <f>pinyin(B531)</f>
        <v/>
      </c>
      <c r="D531" s="8" t="inlineStr">
        <is>
          <t>天生就有、不容易改掉的问题</t>
        </is>
      </c>
      <c r="E531" s="8">
        <f>IFERROR(__xludf.DUMMYFUNCTION("GOOGLETRANSLATE(B531, ""zh"", ""vi"")"),"khuyết điểm")</f>
        <v/>
      </c>
      <c r="F531" s="8" t="inlineStr">
        <is>
          <t>每个人都有自己的缺陷。</t>
        </is>
      </c>
      <c r="H531" s="9">
        <f>G531=B531</f>
        <v/>
      </c>
    </row>
    <row r="532">
      <c r="A532" s="8" t="inlineStr">
        <is>
          <t>bài 11</t>
        </is>
      </c>
      <c r="B532" s="11" t="inlineStr">
        <is>
          <t>镜头</t>
        </is>
      </c>
      <c r="C532" s="8">
        <f>pinyin(B532)</f>
        <v/>
      </c>
      <c r="D532" s="8" t="inlineStr">
        <is>
          <t>照相机拍下来的画面</t>
        </is>
      </c>
      <c r="E532" s="8">
        <f>IFERROR(__xludf.DUMMYFUNCTION("GOOGLETRANSLATE(B532, ""zh"", ""vi"")"),"ống kính")</f>
        <v/>
      </c>
      <c r="F532" s="8" t="inlineStr">
        <is>
          <t>记者把镜头对准了运动员。</t>
        </is>
      </c>
      <c r="H532" s="9">
        <f>G532=B532</f>
        <v/>
      </c>
    </row>
    <row r="533">
      <c r="A533" s="8" t="inlineStr">
        <is>
          <t>bài 11</t>
        </is>
      </c>
      <c r="B533" s="11" t="inlineStr">
        <is>
          <t>自力更生</t>
        </is>
      </c>
      <c r="C533" s="8">
        <f>pinyin(B533)</f>
        <v/>
      </c>
      <c r="D533" s="8" t="inlineStr">
        <is>
          <t>不依靠别人，靠自己生活和发展</t>
        </is>
      </c>
      <c r="E533" s="8">
        <f>IFERROR(__xludf.DUMMYFUNCTION("GOOGLETRANSLATE(B533, ""zh"", ""vi"")"),"Tự lực")</f>
        <v/>
      </c>
      <c r="F533" s="8" t="inlineStr">
        <is>
          <t>他大学毕业后开始自力更生。</t>
        </is>
      </c>
      <c r="H533" s="9">
        <f>G533=B533</f>
        <v/>
      </c>
    </row>
    <row r="534">
      <c r="A534" s="8" t="inlineStr">
        <is>
          <t>bài 11</t>
        </is>
      </c>
      <c r="B534" s="11" t="inlineStr">
        <is>
          <t>尖端</t>
        </is>
      </c>
      <c r="C534" s="8">
        <f>pinyin(B534)</f>
        <v/>
      </c>
      <c r="D534" s="8" t="inlineStr">
        <is>
          <t>最先进、最前面的技术或水平</t>
        </is>
      </c>
      <c r="E534" s="8" t="inlineStr">
        <is>
          <t>đỉnh cao, đi đầu, tiên tiến, mũi nhọn</t>
        </is>
      </c>
      <c r="F534" s="8" t="inlineStr">
        <is>
          <t>这是世界尖端技术之一。</t>
        </is>
      </c>
      <c r="H534" s="9">
        <f>G534=B534</f>
        <v/>
      </c>
    </row>
    <row r="535">
      <c r="A535" s="8" t="inlineStr">
        <is>
          <t>bài 11</t>
        </is>
      </c>
      <c r="B535" s="11" t="inlineStr">
        <is>
          <t>钻研</t>
        </is>
      </c>
      <c r="C535" s="8">
        <f>pinyin(B535)</f>
        <v/>
      </c>
      <c r="D535" s="8" t="inlineStr">
        <is>
          <t>一直认真学习和研究</t>
        </is>
      </c>
      <c r="E535" s="8" t="inlineStr">
        <is>
          <t>nghiền ngẫm, tận tụy</t>
        </is>
      </c>
      <c r="F535" s="8" t="inlineStr">
        <is>
          <t>他一直在钻研人工智能。</t>
        </is>
      </c>
      <c r="H535" s="9">
        <f>G535=B535</f>
        <v/>
      </c>
    </row>
    <row r="536">
      <c r="A536" s="8" t="inlineStr">
        <is>
          <t>bài 11</t>
        </is>
      </c>
      <c r="B536" s="11" t="inlineStr">
        <is>
          <t>动态</t>
        </is>
      </c>
      <c r="C536" s="8">
        <f>pinyin(B536)</f>
        <v/>
      </c>
      <c r="D536" s="8" t="inlineStr">
        <is>
          <t>不断变化的情况</t>
        </is>
      </c>
      <c r="E536" s="8">
        <f>IFERROR(__xludf.DUMMYFUNCTION("GOOGLETRANSLATE(B536, ""zh"", ""vi"")"),"năng động")</f>
        <v/>
      </c>
      <c r="F536" s="8" t="inlineStr">
        <is>
          <t>我们要关注市场动态。</t>
        </is>
      </c>
      <c r="H536" s="9">
        <f>G536=B536</f>
        <v/>
      </c>
    </row>
    <row r="537">
      <c r="A537" s="8" t="inlineStr">
        <is>
          <t>bài 11</t>
        </is>
      </c>
      <c r="B537" s="11" t="inlineStr">
        <is>
          <t>储存</t>
        </is>
      </c>
      <c r="C537" s="8">
        <f>pinyin(B537)</f>
        <v/>
      </c>
      <c r="D537" s="8" t="inlineStr">
        <is>
          <t>把东西保存起来，需要时再拿出来</t>
        </is>
      </c>
      <c r="E537" s="8">
        <f>IFERROR(__xludf.DUMMYFUNCTION("GOOGLETRANSLATE(B537, ""zh"", ""vi"")"),"cửa hàng")</f>
        <v/>
      </c>
      <c r="F537" s="8" t="inlineStr">
        <is>
          <t>照片都储存在电脑里。</t>
        </is>
      </c>
      <c r="H537" s="9">
        <f>G537=B537</f>
        <v/>
      </c>
    </row>
    <row r="538">
      <c r="A538" s="8" t="inlineStr">
        <is>
          <t>bài 11</t>
        </is>
      </c>
      <c r="B538" s="11" t="inlineStr">
        <is>
          <t>遥控</t>
        </is>
      </c>
      <c r="C538" s="8">
        <f>pinyin(B538)</f>
        <v/>
      </c>
      <c r="D538" s="8" t="inlineStr">
        <is>
          <t>不用直接接触，在远处控制</t>
        </is>
      </c>
      <c r="E538" s="8">
        <f>IFERROR(__xludf.DUMMYFUNCTION("GOOGLETRANSLATE(B538, ""zh"", ""vi"")"),"điều khiển từ xa")</f>
        <v/>
      </c>
      <c r="F538" s="8" t="inlineStr">
        <is>
          <t>他用遥控器打开了电视。</t>
        </is>
      </c>
      <c r="H538" s="9">
        <f>G538=B538</f>
        <v/>
      </c>
    </row>
    <row r="539">
      <c r="A539" s="8" t="inlineStr">
        <is>
          <t>bài 11</t>
        </is>
      </c>
      <c r="B539" s="11" t="inlineStr">
        <is>
          <t>即时</t>
        </is>
      </c>
      <c r="C539" s="8">
        <f>pinyin(B539)</f>
        <v/>
      </c>
      <c r="D539" s="8" t="inlineStr">
        <is>
          <t>事情发生后马上就能看到、知道或使用</t>
        </is>
      </c>
      <c r="E539" s="8">
        <f>IFERROR(__xludf.DUMMYFUNCTION("GOOGLETRANSLATE(B539, ""zh"", ""vi"")"),"ngay lập tức")</f>
        <v/>
      </c>
      <c r="F539" s="8" t="inlineStr">
        <is>
          <t>比赛结果会即时公布。</t>
        </is>
      </c>
      <c r="H539" s="9">
        <f>G539=B539</f>
        <v/>
      </c>
    </row>
    <row r="540">
      <c r="A540" s="8" t="inlineStr">
        <is>
          <t>bài 12</t>
        </is>
      </c>
      <c r="B540" s="11" t="inlineStr">
        <is>
          <t>白噪音</t>
        </is>
      </c>
      <c r="C540" s="8">
        <f>pinyin(B540)</f>
        <v/>
      </c>
      <c r="D540" s="8" t="inlineStr">
        <is>
          <t>听起来平稳、没有明显变化的声音，能让人放松。</t>
        </is>
      </c>
      <c r="E540" s="8">
        <f>IFERROR(__xludf.DUMMYFUNCTION("GOOGLETRANSLATE(B540, ""zh"", ""vi"")"),"Tiếng ồn trắng")</f>
        <v/>
      </c>
      <c r="F540" s="8" t="inlineStr">
        <is>
          <t>白噪音听起来像下雨声，让人容易睡觉。</t>
        </is>
      </c>
      <c r="H540" s="9">
        <f>G540=B540</f>
        <v/>
      </c>
    </row>
    <row r="541">
      <c r="A541" s="8" t="inlineStr">
        <is>
          <t>bài 12</t>
        </is>
      </c>
      <c r="B541" s="11" t="inlineStr">
        <is>
          <t>嘈杂</t>
        </is>
      </c>
      <c r="C541" s="8">
        <f>pinyin(B541)</f>
        <v/>
      </c>
      <c r="D541" s="8" t="inlineStr">
        <is>
          <t>很多声音混在一起，很吵闹。</t>
        </is>
      </c>
      <c r="E541" s="8">
        <f>IFERROR(__xludf.DUMMYFUNCTION("GOOGLETRANSLATE(B541, ""zh"", ""vi"")"),"ồn ào")</f>
        <v/>
      </c>
      <c r="F541" s="8" t="inlineStr">
        <is>
          <t>刚才教室里很嘈杂，我听不清你的话， 你再说一篇吧。</t>
        </is>
      </c>
      <c r="H541" s="9">
        <f>G541=B541</f>
        <v/>
      </c>
    </row>
    <row r="542">
      <c r="A542" s="8" t="inlineStr">
        <is>
          <t>bài 12</t>
        </is>
      </c>
      <c r="B542" s="11" t="inlineStr">
        <is>
          <t>莫名其妙</t>
        </is>
      </c>
      <c r="C542" s="8">
        <f>pinyin(B542)</f>
        <v/>
      </c>
      <c r="D542" s="8" t="inlineStr">
        <is>
          <t>不知道是什么原因，让人觉得奇怪。</t>
        </is>
      </c>
      <c r="E542" s="8">
        <f>IFERROR(__xludf.DUMMYFUNCTION("GOOGLETRANSLATE(B542, ""zh"", ""vi"")"),"khó hiểu")</f>
        <v/>
      </c>
      <c r="F542" s="8" t="inlineStr">
        <is>
          <t>他莫名其妙地笑了，我不知道为什么。</t>
        </is>
      </c>
      <c r="H542" s="9">
        <f>G542=B542</f>
        <v/>
      </c>
    </row>
    <row r="543">
      <c r="A543" s="8" t="inlineStr">
        <is>
          <t>bài 12</t>
        </is>
      </c>
      <c r="B543" s="11" t="inlineStr">
        <is>
          <t>淘汰</t>
        </is>
      </c>
      <c r="C543" s="8">
        <f>pinyin(B543)</f>
        <v/>
      </c>
      <c r="D543" s="8" t="inlineStr">
        <is>
          <t>把不适合的、差的去掉。</t>
        </is>
      </c>
      <c r="E543" s="8">
        <f>IFERROR(__xludf.DUMMYFUNCTION("GOOGLETRANSLATE(B543, ""zh"", ""vi"")"),"không sử dụng")</f>
        <v/>
      </c>
      <c r="F543" s="8" t="inlineStr">
        <is>
          <t>这种旧机器早该淘汰了。</t>
        </is>
      </c>
      <c r="H543" s="9">
        <f>G543=B543</f>
        <v/>
      </c>
    </row>
    <row r="544">
      <c r="A544" s="8" t="inlineStr">
        <is>
          <t>bài 12</t>
        </is>
      </c>
      <c r="B544" s="11" t="inlineStr">
        <is>
          <t>不妨</t>
        </is>
      </c>
      <c r="C544" s="8">
        <f>pinyin(B544)</f>
        <v/>
      </c>
      <c r="D544" s="8" t="inlineStr">
        <is>
          <t>这样做没有问题，可以试试。</t>
        </is>
      </c>
      <c r="E544" s="8">
        <f>IFERROR(__xludf.DUMMYFUNCTION("GOOGLETRANSLATE(B544, ""zh"", ""vi"")"),"Tại sao không?")</f>
        <v/>
      </c>
      <c r="F544" s="8" t="inlineStr">
        <is>
          <t>有困难的话，你不妨告诉我。</t>
        </is>
      </c>
      <c r="H544" s="9">
        <f>G544=B544</f>
        <v/>
      </c>
    </row>
    <row r="545">
      <c r="A545" s="8" t="inlineStr">
        <is>
          <t>bài 12</t>
        </is>
      </c>
      <c r="B545" s="11" t="inlineStr">
        <is>
          <t>描绘</t>
        </is>
      </c>
      <c r="C545" s="8">
        <f>pinyin(B545)</f>
        <v/>
      </c>
      <c r="D545" s="8" t="inlineStr">
        <is>
          <t>用语言或笔画出来、描述人出来。</t>
        </is>
      </c>
      <c r="E545" s="8">
        <f>IFERROR(__xludf.DUMMYFUNCTION("GOOGLETRANSLATE(B545, ""zh"", ""vi"")"),"Mô tả")</f>
        <v/>
      </c>
      <c r="F545" s="8" t="inlineStr">
        <is>
          <t>他用文字描绘了美丽的家乡。</t>
        </is>
      </c>
      <c r="H545" s="9">
        <f>G545=B545</f>
        <v/>
      </c>
    </row>
    <row r="546">
      <c r="A546" s="8" t="inlineStr">
        <is>
          <t>bài 12</t>
        </is>
      </c>
      <c r="B546" s="11" t="inlineStr">
        <is>
          <t>波浪</t>
        </is>
      </c>
      <c r="C546" s="8">
        <f>pinyin(B546)</f>
        <v/>
      </c>
      <c r="D546" s="8" t="inlineStr">
        <is>
          <t>水面一起一伏流动的浪。</t>
        </is>
      </c>
      <c r="E546" s="8">
        <f>IFERROR(__xludf.DUMMYFUNCTION("GOOGLETRANSLATE(B546, ""zh"", ""vi"")"),"sóng")</f>
        <v/>
      </c>
      <c r="F546" s="8" t="inlineStr">
        <is>
          <t>海上的波浪很大。</t>
        </is>
      </c>
      <c r="H546" s="9">
        <f>G546=B546</f>
        <v/>
      </c>
    </row>
    <row r="547">
      <c r="A547" s="8" t="inlineStr">
        <is>
          <t>bài 12</t>
        </is>
      </c>
      <c r="B547" s="11" t="inlineStr">
        <is>
          <t>岩石</t>
        </is>
      </c>
      <c r="C547" s="8">
        <f>pinyin(B547)</f>
        <v/>
      </c>
      <c r="D547" s="8" t="inlineStr">
        <is>
          <t>很大很硬的石头。</t>
        </is>
      </c>
      <c r="E547" s="8">
        <f>IFERROR(__xludf.DUMMYFUNCTION("GOOGLETRANSLATE(B547, ""zh"", ""vi"")"),"đá")</f>
        <v/>
      </c>
      <c r="F547" s="8" t="inlineStr">
        <is>
          <t>波浪拍打着岩石。</t>
        </is>
      </c>
      <c r="H547" s="9">
        <f>G547=B547</f>
        <v/>
      </c>
    </row>
    <row r="548">
      <c r="A548" s="8" t="inlineStr">
        <is>
          <t>bài 12</t>
        </is>
      </c>
      <c r="B548" s="11" t="inlineStr">
        <is>
          <t>抚摸</t>
        </is>
      </c>
      <c r="C548" s="8">
        <f>pinyin(B548)</f>
        <v/>
      </c>
      <c r="D548" s="8" t="inlineStr">
        <is>
          <t>用手轻轻地摸。</t>
        </is>
      </c>
      <c r="E548" s="8">
        <f>IFERROR(__xludf.DUMMYFUNCTION("GOOGLETRANSLATE(B548, ""zh"", ""vi"")"),"vuốt ve")</f>
        <v/>
      </c>
      <c r="F548" s="8" t="inlineStr">
        <is>
          <t>妈妈轻轻抚摸孩子的头。</t>
        </is>
      </c>
      <c r="H548" s="9">
        <f>G548=B548</f>
        <v/>
      </c>
    </row>
    <row r="549">
      <c r="A549" s="8" t="inlineStr">
        <is>
          <t>bài 12</t>
        </is>
      </c>
      <c r="B549" s="11" t="inlineStr">
        <is>
          <t>务必</t>
        </is>
      </c>
      <c r="C549" s="8">
        <f>pinyin(B549)</f>
        <v/>
      </c>
      <c r="D549" s="8" t="inlineStr">
        <is>
          <t>一定要这样做。</t>
        </is>
      </c>
      <c r="E549" s="8">
        <f>IFERROR(__xludf.DUMMYFUNCTION("GOOGLETRANSLATE(B549, ""zh"", ""vi"")"),"hãy chắc chắn")</f>
        <v/>
      </c>
      <c r="F549" s="8" t="inlineStr">
        <is>
          <t>明天务必准时参加会议。</t>
        </is>
      </c>
      <c r="H549" s="9">
        <f>G549=B549</f>
        <v/>
      </c>
    </row>
    <row r="550">
      <c r="A550" s="8" t="inlineStr">
        <is>
          <t>bài 12</t>
        </is>
      </c>
      <c r="B550" s="11" t="inlineStr">
        <is>
          <t>警惕</t>
        </is>
      </c>
      <c r="C550" s="8">
        <f>pinyin(B550)</f>
        <v/>
      </c>
      <c r="D550" s="8" t="inlineStr">
        <is>
          <t>小心注意危险。</t>
        </is>
      </c>
      <c r="E550" s="8" t="inlineStr">
        <is>
          <t>cảnh giác</t>
        </is>
      </c>
      <c r="F550" s="8" t="inlineStr">
        <is>
          <t>开车时要提高警惕。</t>
        </is>
      </c>
      <c r="H550" s="9">
        <f>G550=B550</f>
        <v/>
      </c>
    </row>
    <row r="551">
      <c r="A551" s="8" t="inlineStr">
        <is>
          <t>bài 12</t>
        </is>
      </c>
      <c r="B551" s="11" t="inlineStr">
        <is>
          <t>解除</t>
        </is>
      </c>
      <c r="C551" s="8">
        <f>pinyin(B551)</f>
        <v/>
      </c>
      <c r="D551" s="8" t="inlineStr">
        <is>
          <t>把原来的去掉或取消。</t>
        </is>
      </c>
      <c r="E551" s="8" t="inlineStr">
        <is>
          <t>Xóa bỏ, giải trừ</t>
        </is>
      </c>
      <c r="F551" s="8" t="inlineStr">
        <is>
          <t>危险解除后，大家都放松了。</t>
        </is>
      </c>
      <c r="H551" s="9">
        <f>G551=B551</f>
        <v/>
      </c>
    </row>
    <row r="552">
      <c r="A552" s="8" t="inlineStr">
        <is>
          <t>bài 12</t>
        </is>
      </c>
      <c r="B552" s="11" t="inlineStr">
        <is>
          <t>暴露</t>
        </is>
      </c>
      <c r="C552" s="8">
        <f>pinyin(B552)</f>
        <v/>
      </c>
      <c r="D552" s="8" t="inlineStr">
        <is>
          <t>把藏起来的东西露出来。</t>
        </is>
      </c>
      <c r="E552" s="8">
        <f>IFERROR(__xludf.DUMMYFUNCTION("GOOGLETRANSLATE(B552, ""zh"", ""vi"")"),"Phơi bày")</f>
        <v/>
      </c>
      <c r="F552" s="8" t="inlineStr">
        <is>
          <t>他的秘密被暴露了。</t>
        </is>
      </c>
      <c r="H552" s="9">
        <f>G552=B552</f>
        <v/>
      </c>
    </row>
    <row r="553">
      <c r="A553" s="8" t="inlineStr">
        <is>
          <t>bài 12</t>
        </is>
      </c>
      <c r="B553" s="11" t="inlineStr">
        <is>
          <t>惹祸</t>
        </is>
      </c>
      <c r="C553" s="8">
        <f>pinyin(B553)</f>
        <v/>
      </c>
      <c r="D553" s="8" t="inlineStr">
        <is>
          <t>引起麻烦或灾祸。</t>
        </is>
      </c>
      <c r="E553" s="8" t="inlineStr">
        <is>
          <t>Gây họa, rắc rối</t>
        </is>
      </c>
      <c r="F553" s="8" t="inlineStr">
        <is>
          <t>小孩子不要惹祸。</t>
        </is>
      </c>
      <c r="H553" s="9">
        <f>G553=B553</f>
        <v/>
      </c>
    </row>
    <row r="554">
      <c r="A554" s="8" t="inlineStr">
        <is>
          <t>bài 12</t>
        </is>
      </c>
      <c r="B554" s="11" t="inlineStr">
        <is>
          <t>雌雄</t>
        </is>
      </c>
      <c r="C554" s="8">
        <f>pinyin(B554)</f>
        <v/>
      </c>
      <c r="D554" s="8" t="inlineStr">
        <is>
          <t>雌性和雄性。</t>
        </is>
      </c>
      <c r="E554" s="8">
        <f>IFERROR(__xludf.DUMMYFUNCTION("GOOGLETRANSLATE(B554, ""zh"", ""vi"")"),"nam và nữ")</f>
        <v/>
      </c>
      <c r="F554" s="8" t="inlineStr">
        <is>
          <t>这只鸟是雄的还是雌的？一决雌雄/高下</t>
        </is>
      </c>
      <c r="H554" s="9">
        <f>G554=B554</f>
        <v/>
      </c>
    </row>
    <row r="555">
      <c r="A555" s="8" t="inlineStr">
        <is>
          <t>bài 12</t>
        </is>
      </c>
      <c r="B555" s="11" t="inlineStr">
        <is>
          <t>祖先</t>
        </is>
      </c>
      <c r="C555" s="8">
        <f>pinyin(B555)</f>
        <v/>
      </c>
      <c r="D555" s="8" t="inlineStr">
        <is>
          <t>很远的长辈， 最早的祖宗。</t>
        </is>
      </c>
      <c r="E555" s="8">
        <f>IFERROR(__xludf.DUMMYFUNCTION("GOOGLETRANSLATE(B555, ""zh"", ""vi"")"),"tổ tiên")</f>
        <v/>
      </c>
      <c r="F555" s="8" t="inlineStr">
        <is>
          <t>我们的祖先很聪明。</t>
        </is>
      </c>
      <c r="H555" s="9">
        <f>G555=B555</f>
        <v/>
      </c>
    </row>
    <row r="556">
      <c r="A556" s="8" t="inlineStr">
        <is>
          <t>bài 12</t>
        </is>
      </c>
      <c r="B556" s="11" t="inlineStr">
        <is>
          <t>遗留</t>
        </is>
      </c>
      <c r="C556" s="8">
        <f>pinyin(B556)</f>
        <v/>
      </c>
      <c r="D556" s="8" t="inlineStr">
        <is>
          <t>以前留下的东西。</t>
        </is>
      </c>
      <c r="E556" s="8" t="inlineStr">
        <is>
          <t>để lại</t>
        </is>
      </c>
      <c r="F556" s="8" t="inlineStr">
        <is>
          <t>这是历史遗留的问题。</t>
        </is>
      </c>
      <c r="H556" s="9">
        <f>G556=B556</f>
        <v/>
      </c>
    </row>
    <row r="557">
      <c r="A557" s="8" t="inlineStr">
        <is>
          <t>bài 12</t>
        </is>
      </c>
      <c r="B557" s="11" t="inlineStr">
        <is>
          <t>嘛</t>
        </is>
      </c>
      <c r="C557" s="8">
        <f>pinyin(B557)</f>
        <v/>
      </c>
      <c r="D557" s="8" t="inlineStr">
        <is>
          <t>表示语气的词。</t>
        </is>
      </c>
      <c r="E557" s="8" t="inlineStr">
        <is>
          <t xml:space="preserve">(nói,...) đi mà </t>
        </is>
      </c>
      <c r="F557" s="8" t="inlineStr">
        <is>
          <t>你去嘛，我不去。</t>
        </is>
      </c>
      <c r="H557" s="9">
        <f>G557=B557</f>
        <v/>
      </c>
    </row>
    <row r="558">
      <c r="A558" s="8" t="inlineStr">
        <is>
          <t>bài 12</t>
        </is>
      </c>
      <c r="B558" s="11" t="inlineStr">
        <is>
          <t>延续</t>
        </is>
      </c>
      <c r="C558" s="8">
        <f>pinyin(B558)</f>
        <v/>
      </c>
      <c r="D558" s="8" t="inlineStr">
        <is>
          <t>让它继续下去。</t>
        </is>
      </c>
      <c r="E558" s="8">
        <f>IFERROR(__xludf.DUMMYFUNCTION("GOOGLETRANSLATE(B558, ""zh"", ""vi"")"),"Tiếp tục")</f>
        <v/>
      </c>
      <c r="F558" s="8" t="inlineStr">
        <is>
          <t>这种传统要延续下去。</t>
        </is>
      </c>
      <c r="H558" s="9">
        <f>G558=B558</f>
        <v/>
      </c>
    </row>
    <row r="559">
      <c r="A559" s="8" t="inlineStr">
        <is>
          <t>bài 12</t>
        </is>
      </c>
      <c r="B559" s="11" t="inlineStr">
        <is>
          <t>后代</t>
        </is>
      </c>
      <c r="C559" s="8">
        <f>pinyin(B559)</f>
        <v/>
      </c>
      <c r="D559" s="8" t="inlineStr">
        <is>
          <t>后面的子孙。</t>
        </is>
      </c>
      <c r="E559" s="8">
        <f>IFERROR(__xludf.DUMMYFUNCTION("GOOGLETRANSLATE(B559, ""zh"", ""vi"")"),"hậu duệ")</f>
        <v/>
      </c>
      <c r="F559" s="8" t="inlineStr">
        <is>
          <t>我们要为后代着想。</t>
        </is>
      </c>
      <c r="H559" s="9">
        <f>G559=B559</f>
        <v/>
      </c>
    </row>
    <row r="560">
      <c r="A560" s="8" t="inlineStr">
        <is>
          <t>bài 12</t>
        </is>
      </c>
      <c r="B560" s="11" t="inlineStr">
        <is>
          <t>呼唤</t>
        </is>
      </c>
      <c r="C560" s="8">
        <f>pinyin(B560)</f>
        <v/>
      </c>
      <c r="D560" s="8" t="inlineStr">
        <is>
          <t>大声地叫。</t>
        </is>
      </c>
      <c r="E560" s="8">
        <f>IFERROR(__xludf.DUMMYFUNCTION("GOOGLETRANSLATE(B560, ""zh"", ""vi"")"),"gọi ")</f>
        <v/>
      </c>
      <c r="F560" s="8" t="inlineStr">
        <is>
          <t>他在远处呼唤我的名字。</t>
        </is>
      </c>
      <c r="H560" s="9">
        <f>G560=B560</f>
        <v/>
      </c>
    </row>
    <row r="561">
      <c r="A561" s="8" t="inlineStr">
        <is>
          <t>bài 12</t>
        </is>
      </c>
      <c r="B561" s="11" t="inlineStr">
        <is>
          <t>不得已</t>
        </is>
      </c>
      <c r="C561" s="8">
        <f>pinyin(B561)</f>
        <v/>
      </c>
      <c r="D561" s="8" t="inlineStr">
        <is>
          <t>没有别的办法，只能这样做。</t>
        </is>
      </c>
      <c r="E561" s="8" t="inlineStr">
        <is>
          <t>đường cùng rồi</t>
        </is>
      </c>
      <c r="F561" s="8" t="inlineStr">
        <is>
          <t>我不得已才放弃这个机会。</t>
        </is>
      </c>
      <c r="H561" s="9">
        <f>G561=B561</f>
        <v/>
      </c>
    </row>
    <row r="562">
      <c r="A562" s="8" t="inlineStr">
        <is>
          <t>bài 12</t>
        </is>
      </c>
      <c r="B562" s="11" t="inlineStr">
        <is>
          <t>竖</t>
        </is>
      </c>
      <c r="C562" s="8">
        <f>pinyin(B562)</f>
        <v/>
      </c>
      <c r="D562" s="8" t="inlineStr">
        <is>
          <t>立起来、竖直。</t>
        </is>
      </c>
      <c r="E562" s="8">
        <f>IFERROR(__xludf.DUMMYFUNCTION("GOOGLETRANSLATE(B562, ""zh"", ""vi"")"),"thẳng đứng")</f>
        <v/>
      </c>
      <c r="F562" s="8" t="inlineStr">
        <is>
          <t>请把手指竖起来。</t>
        </is>
      </c>
      <c r="H562" s="9">
        <f>G562=B562</f>
        <v/>
      </c>
    </row>
    <row r="563">
      <c r="A563" s="8" t="inlineStr">
        <is>
          <t>bài 12</t>
        </is>
      </c>
      <c r="B563" s="11" t="inlineStr">
        <is>
          <t>原始</t>
        </is>
      </c>
      <c r="C563" s="8">
        <f>pinyin(B563)</f>
        <v/>
      </c>
      <c r="D563" s="8" t="inlineStr">
        <is>
          <t>最早、最开始的时候。</t>
        </is>
      </c>
      <c r="E563" s="8">
        <f>IFERROR(__xludf.DUMMYFUNCTION("GOOGLETRANSLATE(B563, ""zh"", ""vi"")"),"nguyên bản")</f>
        <v/>
      </c>
      <c r="F563" s="8" t="inlineStr">
        <is>
          <t>原始社会没有手机。</t>
        </is>
      </c>
      <c r="H563" s="9">
        <f>G563=B563</f>
        <v/>
      </c>
    </row>
    <row r="564">
      <c r="A564" s="8" t="inlineStr">
        <is>
          <t>bài 12</t>
        </is>
      </c>
      <c r="B564" s="11" t="inlineStr">
        <is>
          <t>进化</t>
        </is>
      </c>
      <c r="C564" s="8">
        <f>pinyin(B564)</f>
        <v/>
      </c>
      <c r="D564" s="8" t="inlineStr">
        <is>
          <t>慢慢发展、变化。</t>
        </is>
      </c>
      <c r="E564" s="8">
        <f>IFERROR(__xludf.DUMMYFUNCTION("GOOGLETRANSLATE(B564, ""zh"", ""vi"")"),"sự tiến hóa")</f>
        <v/>
      </c>
      <c r="F564" s="8" t="inlineStr">
        <is>
          <t>人类是慢慢进化的。</t>
        </is>
      </c>
      <c r="H564" s="9">
        <f>G564=B564</f>
        <v/>
      </c>
    </row>
    <row r="565">
      <c r="A565" s="8" t="inlineStr">
        <is>
          <t>bài 12</t>
        </is>
      </c>
      <c r="B565" s="11" t="inlineStr">
        <is>
          <t>靠拢</t>
        </is>
      </c>
      <c r="C565" s="8">
        <f>pinyin(B565)</f>
        <v/>
      </c>
      <c r="D565" s="8" t="inlineStr">
        <is>
          <t>向旁边或目标靠近。</t>
        </is>
      </c>
      <c r="E565" s="8">
        <f>IFERROR(__xludf.DUMMYFUNCTION("GOOGLETRANSLATE(B565, ""zh"", ""vi"")"),"tiến lại gần hơn")</f>
        <v/>
      </c>
      <c r="F565" s="8" t="inlineStr">
        <is>
          <t>船慢慢靠拢岸边。</t>
        </is>
      </c>
      <c r="H565" s="9">
        <f>G565=B565</f>
        <v/>
      </c>
    </row>
    <row r="566">
      <c r="A566" s="8" t="inlineStr">
        <is>
          <t>bài 12</t>
        </is>
      </c>
      <c r="B566" s="11" t="inlineStr">
        <is>
          <t>神经</t>
        </is>
      </c>
      <c r="C566" s="8">
        <f>pinyin(B566)</f>
        <v/>
      </c>
      <c r="D566" s="8" t="inlineStr">
        <is>
          <t>身体里控制感觉和思想的部分。</t>
        </is>
      </c>
      <c r="E566" s="8">
        <f>IFERROR(__xludf.DUMMYFUNCTION("GOOGLETRANSLATE(B566, ""zh"", ""vi"")"),"dây thần kinh")</f>
        <v/>
      </c>
      <c r="F566" s="8" t="inlineStr">
        <is>
          <t>他太紧张，神经受不了。</t>
        </is>
      </c>
      <c r="H566" s="9">
        <f>G566=B566</f>
        <v/>
      </c>
    </row>
    <row r="567">
      <c r="A567" s="8" t="inlineStr">
        <is>
          <t>bài 12</t>
        </is>
      </c>
      <c r="B567" s="11" t="inlineStr">
        <is>
          <t>生物</t>
        </is>
      </c>
      <c r="C567" s="8">
        <f>pinyin(B567)</f>
        <v/>
      </c>
      <c r="D567" s="8" t="inlineStr">
        <is>
          <t>有生命的东西。</t>
        </is>
      </c>
      <c r="E567" s="8">
        <f>IFERROR(__xludf.DUMMYFUNCTION("GOOGLETRANSLATE(B567, ""zh"", ""vi"")"),"sinh vật học")</f>
        <v/>
      </c>
      <c r="F567" s="8" t="inlineStr">
        <is>
          <t>森林里有许多生物。</t>
        </is>
      </c>
      <c r="H567" s="9">
        <f>G567=B567</f>
        <v/>
      </c>
    </row>
    <row r="568">
      <c r="A568" s="8" t="inlineStr">
        <is>
          <t>bài 12</t>
        </is>
      </c>
      <c r="B568" s="11" t="inlineStr">
        <is>
          <t>配偶</t>
        </is>
      </c>
      <c r="C568" s="8">
        <f>pinyin(B568)</f>
        <v/>
      </c>
      <c r="D568" s="8" t="inlineStr">
        <is>
          <t>丈夫或妻子。</t>
        </is>
      </c>
      <c r="E568" s="8">
        <f>IFERROR(__xludf.DUMMYFUNCTION("GOOGLETRANSLATE(B568, ""zh"", ""vi"")"),"vợ chồng")</f>
        <v/>
      </c>
      <c r="F568" s="8" t="inlineStr">
        <is>
          <t>他们是合法配偶。</t>
        </is>
      </c>
      <c r="H568" s="9">
        <f>G568=B568</f>
        <v/>
      </c>
    </row>
    <row r="569">
      <c r="A569" s="8" t="inlineStr">
        <is>
          <t>bài 12</t>
        </is>
      </c>
      <c r="B569" s="11" t="inlineStr">
        <is>
          <t>世代</t>
        </is>
      </c>
      <c r="C569" s="8">
        <f>pinyin(B569)</f>
        <v/>
      </c>
      <c r="D569" s="8" t="inlineStr">
        <is>
          <t>一代接一代。</t>
        </is>
      </c>
      <c r="E569" s="8">
        <f>IFERROR(__xludf.DUMMYFUNCTION("GOOGLETRANSLATE(B569, ""zh"", ""vi"")"),"các thế hệ")</f>
        <v/>
      </c>
      <c r="F569" s="8" t="inlineStr">
        <is>
          <t>这个习惯世代相传。</t>
        </is>
      </c>
      <c r="H569" s="9">
        <f>G569=B569</f>
        <v/>
      </c>
    </row>
    <row r="570">
      <c r="A570" s="8" t="inlineStr">
        <is>
          <t>bài 12</t>
        </is>
      </c>
      <c r="B570" s="11" t="inlineStr">
        <is>
          <t>暗示</t>
        </is>
      </c>
      <c r="C570" s="8">
        <f>pinyin(B570)</f>
        <v/>
      </c>
      <c r="D570" s="8" t="inlineStr">
        <is>
          <t>不直接说出来。</t>
        </is>
      </c>
      <c r="E570" s="8" t="inlineStr">
        <is>
          <t>ám thị, gợi ý</t>
        </is>
      </c>
      <c r="F570" s="8" t="inlineStr">
        <is>
          <t>他用眼神暗示我。</t>
        </is>
      </c>
      <c r="H570" s="9">
        <f>G570=B570</f>
        <v/>
      </c>
    </row>
    <row r="571">
      <c r="A571" s="8" t="inlineStr">
        <is>
          <t>bài 12</t>
        </is>
      </c>
      <c r="B571" s="11" t="inlineStr">
        <is>
          <t>提示</t>
        </is>
      </c>
      <c r="C571" s="8">
        <f>pinyin(B571)</f>
        <v/>
      </c>
      <c r="D571" s="8" t="inlineStr">
        <is>
          <t>提醒别人。</t>
        </is>
      </c>
      <c r="E571" s="8" t="inlineStr">
        <is>
          <t>gợi ý</t>
        </is>
      </c>
      <c r="F571" s="8" t="inlineStr">
        <is>
          <t>老师提示我注意时间。</t>
        </is>
      </c>
      <c r="H571" s="9">
        <f>G571=B571</f>
        <v/>
      </c>
    </row>
    <row r="572">
      <c r="A572" s="8" t="inlineStr">
        <is>
          <t>bài 12</t>
        </is>
      </c>
      <c r="B572" s="11" t="inlineStr">
        <is>
          <t>鉴于</t>
        </is>
      </c>
      <c r="C572" s="8">
        <f>pinyin(B572)</f>
        <v/>
      </c>
      <c r="D572" s="8" t="inlineStr">
        <is>
          <t>因为、考虑到。</t>
        </is>
      </c>
      <c r="E572" s="8">
        <f>IFERROR(__xludf.DUMMYFUNCTION("GOOGLETRANSLATE(B572, ""zh"", ""vi"")"),"Được cho")</f>
        <v/>
      </c>
      <c r="F572" s="8" t="inlineStr">
        <is>
          <t>鉴于天气不好，我们取消了活动。</t>
        </is>
      </c>
      <c r="H572" s="9">
        <f>G572=B572</f>
        <v/>
      </c>
    </row>
    <row r="573">
      <c r="A573" s="8" t="inlineStr">
        <is>
          <t>bài 12</t>
        </is>
      </c>
      <c r="B573" s="11" t="inlineStr">
        <is>
          <t>功效</t>
        </is>
      </c>
      <c r="C573" s="8">
        <f>pinyin(B573)</f>
        <v/>
      </c>
      <c r="D573" s="8" t="inlineStr">
        <is>
          <t>实际能起到的作用。</t>
        </is>
      </c>
      <c r="E573" s="8">
        <f>IFERROR(__xludf.DUMMYFUNCTION("GOOGLETRANSLATE(B573, ""zh"", ""vi"")"),"tác dụng")</f>
        <v/>
      </c>
      <c r="F573" s="8" t="inlineStr">
        <is>
          <t>这个药功效很好。</t>
        </is>
      </c>
      <c r="H573" s="9">
        <f>G573=B573</f>
        <v/>
      </c>
    </row>
    <row r="574">
      <c r="A574" s="8" t="inlineStr">
        <is>
          <t>bài 12</t>
        </is>
      </c>
      <c r="B574" s="11" t="inlineStr">
        <is>
          <t>理所当然</t>
        </is>
      </c>
      <c r="C574" s="8">
        <f>pinyin(B574)</f>
        <v/>
      </c>
      <c r="D574" s="8" t="inlineStr">
        <is>
          <t>按道理就应该这样。</t>
        </is>
      </c>
      <c r="E574" s="8">
        <f>IFERROR(__xludf.DUMMYFUNCTION("GOOGLETRANSLATE(B574, ""zh"", ""vi"")"),"Tất nhiên rồi")</f>
        <v/>
      </c>
      <c r="F574" s="8" t="inlineStr">
        <is>
          <t>孝顺父母是理所当然的。</t>
        </is>
      </c>
      <c r="H574" s="9">
        <f>G574=B574</f>
        <v/>
      </c>
    </row>
    <row r="575">
      <c r="A575" s="8" t="inlineStr">
        <is>
          <t>bài 12</t>
        </is>
      </c>
      <c r="B575" s="11" t="inlineStr">
        <is>
          <t>疾病</t>
        </is>
      </c>
      <c r="C575" s="8">
        <f>pinyin(B575)</f>
        <v/>
      </c>
      <c r="D575" s="8" t="inlineStr">
        <is>
          <t>身体的病。</t>
        </is>
      </c>
      <c r="E575" s="8">
        <f>IFERROR(__xludf.DUMMYFUNCTION("GOOGLETRANSLATE(B575, ""zh"", ""vi"")"),"bệnh")</f>
        <v/>
      </c>
      <c r="F575" s="8" t="inlineStr">
        <is>
          <t>他得了严重的疾病。</t>
        </is>
      </c>
      <c r="H575" s="9">
        <f>G575=B575</f>
        <v/>
      </c>
    </row>
    <row r="576">
      <c r="A576" s="8" t="inlineStr">
        <is>
          <t>bài 12</t>
        </is>
      </c>
      <c r="B576" s="11" t="inlineStr">
        <is>
          <t>患者</t>
        </is>
      </c>
      <c r="C576" s="8">
        <f>pinyin(B576)</f>
        <v/>
      </c>
      <c r="D576" s="8" t="inlineStr">
        <is>
          <t>正在生病的人。</t>
        </is>
      </c>
      <c r="E576" s="8">
        <f>IFERROR(__xludf.DUMMYFUNCTION("GOOGLETRANSLATE(B576, ""zh"", ""vi"")"),"kiên nhẫn")</f>
        <v/>
      </c>
      <c r="F576" s="8" t="inlineStr">
        <is>
          <t>医生正在治疗患者。</t>
        </is>
      </c>
      <c r="H576" s="9">
        <f>G576=B576</f>
        <v/>
      </c>
    </row>
    <row r="577">
      <c r="A577" s="8" t="inlineStr">
        <is>
          <t>bài 12</t>
        </is>
      </c>
      <c r="B577" s="11" t="inlineStr">
        <is>
          <t>辅助</t>
        </is>
      </c>
      <c r="C577" s="8">
        <f>pinyin(B577)</f>
        <v/>
      </c>
      <c r="D577" s="8" t="inlineStr">
        <is>
          <t>从旁帮助。</t>
        </is>
      </c>
      <c r="E577" s="8">
        <f>IFERROR(__xludf.DUMMYFUNCTION("GOOGLETRANSLATE(B577, ""zh"", ""vi"")"),"Ủng hộ")</f>
        <v/>
      </c>
      <c r="F577" s="8" t="inlineStr">
        <is>
          <t>我需要一些辅助工具。</t>
        </is>
      </c>
      <c r="H577" s="9">
        <f>G577=B577</f>
        <v/>
      </c>
    </row>
    <row r="578">
      <c r="A578" s="8" t="inlineStr">
        <is>
          <t>bài 12</t>
        </is>
      </c>
      <c r="B578" s="11" t="inlineStr">
        <is>
          <t>症状</t>
        </is>
      </c>
      <c r="C578" s="8">
        <f>pinyin(B578)</f>
        <v/>
      </c>
      <c r="D578" s="8" t="inlineStr">
        <is>
          <t>生病时身体的表现。</t>
        </is>
      </c>
      <c r="E578" s="8">
        <f>IFERROR(__xludf.DUMMYFUNCTION("GOOGLETRANSLATE(B578, ""zh"", ""vi"")"),"triệu chứng")</f>
        <v/>
      </c>
      <c r="F578" s="8" t="inlineStr">
        <is>
          <t>感冒的症状是发烧和咳嗽。</t>
        </is>
      </c>
      <c r="H578" s="9">
        <f>G578=B578</f>
        <v/>
      </c>
    </row>
    <row r="579">
      <c r="A579" s="8" t="inlineStr">
        <is>
          <t>bài 12</t>
        </is>
      </c>
      <c r="B579" s="11" t="inlineStr">
        <is>
          <t>愈</t>
        </is>
      </c>
      <c r="C579" s="8">
        <f>pinyin(B579)</f>
        <v/>
      </c>
      <c r="D579" s="8" t="inlineStr">
        <is>
          <t>病好了、伤好了。</t>
        </is>
      </c>
      <c r="E579" s="8">
        <f>IFERROR(__xludf.DUMMYFUNCTION("GOOGLETRANSLATE(B579, ""zh"", ""vi"")"),"Chữa lành")</f>
        <v/>
      </c>
      <c r="F579" s="8" t="inlineStr">
        <is>
          <t>他的病终于愈了。</t>
        </is>
      </c>
      <c r="H579" s="9">
        <f>G579=B579</f>
        <v/>
      </c>
    </row>
    <row r="580">
      <c r="A580" s="8" t="inlineStr">
        <is>
          <t>bài 12</t>
        </is>
      </c>
      <c r="B580" s="11" t="inlineStr">
        <is>
          <t>障碍</t>
        </is>
      </c>
      <c r="C580" s="8">
        <f>pinyin(B580)</f>
        <v/>
      </c>
      <c r="D580" s="8" t="inlineStr">
        <is>
          <t>挡住前进的困难东西。</t>
        </is>
      </c>
      <c r="E580" s="8">
        <f>IFERROR(__xludf.DUMMYFUNCTION("GOOGLETRANSLATE(B580, ""zh"", ""vi"")"),"trở ngại")</f>
        <v/>
      </c>
      <c r="F580" s="8" t="inlineStr">
        <is>
          <t>语言是学习的障碍。</t>
        </is>
      </c>
      <c r="H580" s="9">
        <f>G580=B580</f>
        <v/>
      </c>
    </row>
    <row r="581">
      <c r="A581" s="8" t="inlineStr">
        <is>
          <t>bài 12</t>
        </is>
      </c>
      <c r="B581" s="11" t="inlineStr">
        <is>
          <t>给予</t>
        </is>
      </c>
      <c r="C581" s="8">
        <f>pinyin(B581)</f>
        <v/>
      </c>
      <c r="D581" s="8" t="inlineStr">
        <is>
          <t>给别人东西或帮助。</t>
        </is>
      </c>
      <c r="E581" s="8">
        <f>IFERROR(__xludf.DUMMYFUNCTION("GOOGLETRANSLATE(B581, ""zh"", ""vi"")"),"đưa cho")</f>
        <v/>
      </c>
      <c r="F581" s="8" t="inlineStr">
        <is>
          <t>大自然给予我们很多礼物。</t>
        </is>
      </c>
      <c r="H581" s="9">
        <f>G581=B581</f>
        <v/>
      </c>
    </row>
    <row r="582">
      <c r="A582" s="8" t="inlineStr">
        <is>
          <t>bài 13</t>
        </is>
      </c>
      <c r="B582" s="11" t="inlineStr">
        <is>
          <t>变迁</t>
        </is>
      </c>
      <c r="C582" s="8">
        <f>pinyin(B582)</f>
        <v/>
      </c>
      <c r="D582" s="8" t="inlineStr">
        <is>
          <t>时间慢慢发生的变化</t>
        </is>
      </c>
      <c r="E582" s="8">
        <f>IFERROR(__xludf.DUMMYFUNCTION("GOOGLETRANSLATE(B582, ""zh"", ""vi"")"),"thay đổi")</f>
        <v/>
      </c>
      <c r="F582" s="8" t="inlineStr">
        <is>
          <t>社会的变迁很大。</t>
        </is>
      </c>
      <c r="H582" s="9">
        <f>G582=B582</f>
        <v/>
      </c>
    </row>
    <row r="583">
      <c r="A583" s="8" t="inlineStr">
        <is>
          <t>bài 13</t>
        </is>
      </c>
      <c r="B583" s="11" t="inlineStr">
        <is>
          <t>起初</t>
        </is>
      </c>
      <c r="C583" s="8">
        <f>pinyin(B583)</f>
        <v/>
      </c>
      <c r="D583" s="8" t="inlineStr">
        <is>
          <t>刚开始的时候</t>
        </is>
      </c>
      <c r="E583" s="8">
        <f>IFERROR(__xludf.DUMMYFUNCTION("GOOGLETRANSLATE(B583, ""zh"", ""vi"")"),"lúc đầu")</f>
        <v/>
      </c>
      <c r="F583" s="8" t="inlineStr">
        <is>
          <t>起初我不太习惯。</t>
        </is>
      </c>
      <c r="H583" s="9">
        <f>G583=B583</f>
        <v/>
      </c>
    </row>
    <row r="584">
      <c r="A584" s="8" t="inlineStr">
        <is>
          <t>bài 13</t>
        </is>
      </c>
      <c r="B584" s="11" t="inlineStr">
        <is>
          <t>迁徙</t>
        </is>
      </c>
      <c r="C584" s="8">
        <f>pinyin(B584)</f>
        <v/>
      </c>
      <c r="D584" s="8" t="inlineStr">
        <is>
          <t>大群人或动物搬到别的地方住</t>
        </is>
      </c>
      <c r="E584" s="8">
        <f>IFERROR(__xludf.DUMMYFUNCTION("GOOGLETRANSLATE(B584, ""zh"", ""vi"")"),"Di cư")</f>
        <v/>
      </c>
      <c r="F584" s="8" t="inlineStr">
        <is>
          <t>鸟类每年都会迁徙。</t>
        </is>
      </c>
      <c r="H584" s="9">
        <f>G584=B584</f>
        <v/>
      </c>
    </row>
    <row r="585">
      <c r="A585" s="8" t="inlineStr">
        <is>
          <t>bài 13</t>
        </is>
      </c>
      <c r="B585" s="11" t="inlineStr">
        <is>
          <t xml:space="preserve">侵犯 </t>
        </is>
      </c>
      <c r="C585" s="8">
        <f>pinyin(B585)</f>
        <v/>
      </c>
      <c r="D585" s="8" t="inlineStr">
        <is>
          <t>住在某个地方</t>
        </is>
      </c>
      <c r="E585" s="8">
        <f>IFERROR(__xludf.DUMMYFUNCTION("GOOGLETRANSLATE(B585, ""zh"", ""vi"")"),"Vi phạm")</f>
        <v/>
      </c>
      <c r="F585" s="8" t="inlineStr">
        <is>
          <t>我居住在城市里。</t>
        </is>
      </c>
      <c r="H585" s="9">
        <f>G585=B585</f>
        <v/>
      </c>
    </row>
    <row r="586">
      <c r="A586" s="8" t="inlineStr">
        <is>
          <t>bài 13</t>
        </is>
      </c>
      <c r="B586" s="11" t="inlineStr">
        <is>
          <t>居住</t>
        </is>
      </c>
      <c r="C586" s="8">
        <f>pinyin(B586)</f>
        <v/>
      </c>
      <c r="D586" s="8" t="inlineStr">
        <is>
          <t>住在某个地方</t>
        </is>
      </c>
      <c r="E586" s="8">
        <f>IFERROR(__xludf.DUMMYFUNCTION("GOOGLETRANSLATE(B586, ""zh"", ""vi"")"),"sống")</f>
        <v/>
      </c>
      <c r="F586" s="8" t="inlineStr">
        <is>
          <t>我居住在城市里。</t>
        </is>
      </c>
      <c r="H586" s="9">
        <f>G586=B586</f>
        <v/>
      </c>
    </row>
    <row r="587">
      <c r="A587" s="8" t="inlineStr">
        <is>
          <t>bài 13</t>
        </is>
      </c>
      <c r="B587" s="11" t="inlineStr">
        <is>
          <t>纯粹</t>
        </is>
      </c>
      <c r="C587" s="8">
        <f>pinyin(B587)</f>
        <v/>
      </c>
      <c r="D587" s="8" t="inlineStr">
        <is>
          <t>只有一种，没有别的混在一起</t>
        </is>
      </c>
      <c r="E587" s="8">
        <f>IFERROR(__xludf.DUMMYFUNCTION("GOOGLETRANSLATE(B587, ""zh"", ""vi"")"),"hoàn toàn")</f>
        <v/>
      </c>
      <c r="F587" s="8" t="inlineStr">
        <is>
          <t>这是纯粹的牛奶。</t>
        </is>
      </c>
      <c r="H587" s="9">
        <f>G587=B587</f>
        <v/>
      </c>
    </row>
    <row r="588">
      <c r="A588" s="8" t="inlineStr">
        <is>
          <t>bài 13</t>
        </is>
      </c>
      <c r="B588" s="11" t="inlineStr">
        <is>
          <t>生存</t>
        </is>
      </c>
      <c r="C588" s="8">
        <f>pinyin(B588)</f>
        <v/>
      </c>
      <c r="D588" s="8" t="inlineStr">
        <is>
          <t>活下去，维持生命</t>
        </is>
      </c>
      <c r="E588" s="8">
        <f>IFERROR(__xludf.DUMMYFUNCTION("GOOGLETRANSLATE(B588, ""zh"", ""vi"")"),"Tồn tại")</f>
        <v/>
      </c>
      <c r="F588" s="8" t="inlineStr">
        <is>
          <t>人类需要干净的环境才能生存。</t>
        </is>
      </c>
      <c r="H588" s="9">
        <f>G588=B588</f>
        <v/>
      </c>
    </row>
    <row r="589">
      <c r="A589" s="8" t="inlineStr">
        <is>
          <t>bài 13</t>
        </is>
      </c>
      <c r="B589" s="11" t="inlineStr">
        <is>
          <t>便于</t>
        </is>
      </c>
      <c r="C589" s="8">
        <f>pinyin(B589)</f>
        <v/>
      </c>
      <c r="D589" s="8" t="inlineStr">
        <is>
          <t>让某件事做起来更容易</t>
        </is>
      </c>
      <c r="E589" s="8">
        <f>IFERROR(__xludf.DUMMYFUNCTION("GOOGLETRANSLATE(B589, ""zh"", ""vi"")"),"dễ dàng")</f>
        <v/>
      </c>
      <c r="F589" s="8" t="inlineStr">
        <is>
          <t>这个软件便于操作。</t>
        </is>
      </c>
      <c r="H589" s="9">
        <f>G589=B589</f>
        <v/>
      </c>
    </row>
    <row r="590">
      <c r="A590" s="8" t="inlineStr">
        <is>
          <t>bài 13</t>
        </is>
      </c>
      <c r="B590" s="11" t="inlineStr">
        <is>
          <t>习俗</t>
        </is>
      </c>
      <c r="C590" s="8">
        <f>pinyin(B590)</f>
        <v/>
      </c>
      <c r="D590" s="8" t="inlineStr">
        <is>
          <t>一个地方长期形成的习惯和做法</t>
        </is>
      </c>
      <c r="E590" s="8">
        <f>IFERROR(__xludf.DUMMYFUNCTION("GOOGLETRANSLATE(B590, ""zh"", ""vi"")"),"phong tục")</f>
        <v/>
      </c>
      <c r="F590" s="8" t="inlineStr">
        <is>
          <t>每个国家的习俗不一样。</t>
        </is>
      </c>
      <c r="H590" s="9">
        <f>G590=B590</f>
        <v/>
      </c>
    </row>
    <row r="591">
      <c r="A591" s="8" t="inlineStr">
        <is>
          <t>bài 13</t>
        </is>
      </c>
      <c r="B591" s="11" t="inlineStr">
        <is>
          <t>码头</t>
        </is>
      </c>
      <c r="C591" s="8">
        <f>pinyin(B591)</f>
        <v/>
      </c>
      <c r="D591" s="8" t="inlineStr">
        <is>
          <t>船停靠上下货物和人的地方</t>
        </is>
      </c>
      <c r="E591" s="8" t="inlineStr">
        <is>
          <t>cảng</t>
        </is>
      </c>
      <c r="F591" s="8" t="inlineStr">
        <is>
          <t>船停在码头。</t>
        </is>
      </c>
      <c r="H591" s="9">
        <f>G591=B591</f>
        <v/>
      </c>
    </row>
    <row r="592">
      <c r="A592" s="8" t="inlineStr">
        <is>
          <t>bài 13</t>
        </is>
      </c>
      <c r="B592" s="11" t="inlineStr">
        <is>
          <t>主流</t>
        </is>
      </c>
      <c r="C592" s="8">
        <f>pinyin(B592)</f>
        <v/>
      </c>
      <c r="D592" s="8" t="inlineStr">
        <is>
          <t>最主要的部分或趋势</t>
        </is>
      </c>
      <c r="E592" s="8" t="inlineStr">
        <is>
          <t>chủ đạo</t>
        </is>
      </c>
      <c r="F592" s="8" t="inlineStr">
        <is>
          <t>旅游已经成为主流。</t>
        </is>
      </c>
      <c r="H592" s="9">
        <f>G592=B592</f>
        <v/>
      </c>
    </row>
    <row r="593">
      <c r="A593" s="8" t="inlineStr">
        <is>
          <t>bài 13</t>
        </is>
      </c>
      <c r="B593" s="11" t="inlineStr">
        <is>
          <t>携带</t>
        </is>
      </c>
      <c r="C593" s="8">
        <f>pinyin(B593)</f>
        <v/>
      </c>
      <c r="D593" s="8" t="inlineStr">
        <is>
          <t>随身带着东西</t>
        </is>
      </c>
      <c r="E593" s="8">
        <f>IFERROR(__xludf.DUMMYFUNCTION("GOOGLETRANSLATE(B593, ""zh"", ""vi"")"),"mang")</f>
        <v/>
      </c>
      <c r="F593" s="8" t="inlineStr">
        <is>
          <t>请不要携带危险物品。</t>
        </is>
      </c>
      <c r="H593" s="9">
        <f>G593=B593</f>
        <v/>
      </c>
    </row>
    <row r="594">
      <c r="A594" s="8" t="inlineStr">
        <is>
          <t>bài 13</t>
        </is>
      </c>
      <c r="B594" s="11" t="inlineStr">
        <is>
          <t>序言</t>
        </is>
      </c>
      <c r="C594" s="8">
        <f>pinyin(B594)</f>
        <v/>
      </c>
      <c r="D594" s="8" t="inlineStr">
        <is>
          <t>书前面介绍内容的文字</t>
        </is>
      </c>
      <c r="E594" s="8">
        <f>IFERROR(__xludf.DUMMYFUNCTION("GOOGLETRANSLATE(B594, ""zh"", ""vi"")"),"Lời tựa")</f>
        <v/>
      </c>
      <c r="F594" s="8" t="inlineStr">
        <is>
          <t>我在序言中看到了作者的想法。</t>
        </is>
      </c>
      <c r="H594" s="9">
        <f>G594=B594</f>
        <v/>
      </c>
    </row>
    <row r="595">
      <c r="A595" s="8" t="inlineStr">
        <is>
          <t>bài 13</t>
        </is>
      </c>
      <c r="B595" s="11" t="inlineStr">
        <is>
          <t>繁华</t>
        </is>
      </c>
      <c r="C595" s="8">
        <f>pinyin(B595)</f>
        <v/>
      </c>
      <c r="D595" s="8" t="inlineStr">
        <is>
          <t>人多、热闹、活动多</t>
        </is>
      </c>
      <c r="E595" s="8">
        <f>IFERROR(__xludf.DUMMYFUNCTION("GOOGLETRANSLATE(B595, ""zh"", ""vi"")"),"nhộn nhịp")</f>
        <v/>
      </c>
      <c r="F595" s="8" t="inlineStr">
        <is>
          <t>上海是一个繁华的城市。</t>
        </is>
      </c>
      <c r="H595" s="9">
        <f>G595=B595</f>
        <v/>
      </c>
    </row>
    <row r="596">
      <c r="A596" s="8" t="inlineStr">
        <is>
          <t>bài 13</t>
        </is>
      </c>
      <c r="B596" s="11" t="inlineStr">
        <is>
          <t>犹如</t>
        </is>
      </c>
      <c r="C596" s="8">
        <f>pinyin(B596)</f>
        <v/>
      </c>
      <c r="D596" s="8" t="inlineStr">
        <is>
          <t>好像、就像</t>
        </is>
      </c>
      <c r="E596" s="8">
        <f>IFERROR(__xludf.DUMMYFUNCTION("GOOGLETRANSLATE(B596, ""zh"", ""vi"")"),"Giống")</f>
        <v/>
      </c>
      <c r="F596" s="8" t="inlineStr">
        <is>
          <t>他的笑容犹如阳光。</t>
        </is>
      </c>
      <c r="H596" s="9">
        <f>G596=B596</f>
        <v/>
      </c>
    </row>
    <row r="597">
      <c r="A597" s="8" t="inlineStr">
        <is>
          <t>bài 13</t>
        </is>
      </c>
      <c r="B597" s="11" t="inlineStr">
        <is>
          <t>宗旨</t>
        </is>
      </c>
      <c r="C597" s="8">
        <f>pinyin(B597)</f>
        <v/>
      </c>
      <c r="D597" s="8" t="inlineStr">
        <is>
          <t>最主要的目的和原则</t>
        </is>
      </c>
      <c r="E597" s="8" t="inlineStr">
        <is>
          <t>tôn chỉ, mục đích cốt lõi</t>
        </is>
      </c>
      <c r="F597" s="8" t="inlineStr">
        <is>
          <t>我们的宗旨是服务顾客。</t>
        </is>
      </c>
      <c r="H597" s="9">
        <f>G597=B597</f>
        <v/>
      </c>
    </row>
    <row r="598">
      <c r="A598" s="8" t="inlineStr">
        <is>
          <t>bài 13</t>
        </is>
      </c>
      <c r="B598" s="11" t="inlineStr">
        <is>
          <t>栏目</t>
        </is>
      </c>
      <c r="C598" s="8">
        <f>pinyin(B598)</f>
        <v/>
      </c>
      <c r="D598" s="8" t="inlineStr">
        <is>
          <t>报纸、书或节目里的固定部分</t>
        </is>
      </c>
      <c r="E598" s="8" t="inlineStr">
        <is>
          <t>mục, phần (mục lục)</t>
        </is>
      </c>
      <c r="F598" s="8" t="inlineStr">
        <is>
          <t>这个栏目很受欢迎。</t>
        </is>
      </c>
      <c r="H598" s="9">
        <f>G598=B598</f>
        <v/>
      </c>
    </row>
    <row r="599">
      <c r="A599" s="8" t="inlineStr">
        <is>
          <t>bài 13</t>
        </is>
      </c>
      <c r="B599" s="11" t="inlineStr">
        <is>
          <t>人性</t>
        </is>
      </c>
      <c r="C599" s="8">
        <f>pinyin(B599)</f>
        <v/>
      </c>
      <c r="D599" s="8" t="inlineStr">
        <is>
          <t>人本来的感情和特点</t>
        </is>
      </c>
      <c r="E599" s="8">
        <f>IFERROR(__xludf.DUMMYFUNCTION("GOOGLETRANSLATE(B599, ""zh"", ""vi"")"),"bản chất con người")</f>
        <v/>
      </c>
      <c r="F599" s="8" t="inlineStr">
        <is>
          <t>这个设计更人性化。</t>
        </is>
      </c>
      <c r="H599" s="9">
        <f>G599=B599</f>
        <v/>
      </c>
    </row>
    <row r="600">
      <c r="A600" s="8" t="inlineStr">
        <is>
          <t>bài 13</t>
        </is>
      </c>
      <c r="B600" s="11" t="inlineStr">
        <is>
          <t>卫星</t>
        </is>
      </c>
      <c r="C600" s="8">
        <f>pinyin(B600)</f>
        <v/>
      </c>
      <c r="D600" s="8" t="inlineStr">
        <is>
          <t>围绕行星转动的天体</t>
        </is>
      </c>
      <c r="E600" s="8">
        <f>IFERROR(__xludf.DUMMYFUNCTION("GOOGLETRANSLATE(B600, ""zh"", ""vi"")"),"vệ tinh")</f>
        <v/>
      </c>
      <c r="F600" s="8" t="inlineStr">
        <is>
          <t>卫星围绕地球转。</t>
        </is>
      </c>
      <c r="H600" s="9">
        <f>G600=B600</f>
        <v/>
      </c>
    </row>
    <row r="601">
      <c r="A601" s="8" t="inlineStr">
        <is>
          <t>bài 13</t>
        </is>
      </c>
      <c r="B601" s="11" t="inlineStr">
        <is>
          <t>导航</t>
        </is>
      </c>
      <c r="C601" s="8">
        <f>pinyin(B601)</f>
        <v/>
      </c>
      <c r="D601" s="8" t="inlineStr">
        <is>
          <t>指引方向</t>
        </is>
      </c>
      <c r="E601" s="8">
        <f>IFERROR(__xludf.DUMMYFUNCTION("GOOGLETRANSLATE(B601, ""zh"", ""vi"")"),"điều hướng")</f>
        <v/>
      </c>
      <c r="F601" s="8" t="inlineStr">
        <is>
          <t>手机有导航功能。</t>
        </is>
      </c>
      <c r="H601" s="9">
        <f>G601=B601</f>
        <v/>
      </c>
    </row>
    <row r="602">
      <c r="A602" s="8" t="inlineStr">
        <is>
          <t>bài 13</t>
        </is>
      </c>
      <c r="B602" s="11" t="inlineStr">
        <is>
          <t>向导</t>
        </is>
      </c>
      <c r="C602" s="8">
        <f>pinyin(B602)</f>
        <v/>
      </c>
      <c r="D602" s="8" t="inlineStr">
        <is>
          <t>带领别人走路的人</t>
        </is>
      </c>
      <c r="E602" s="8">
        <f>IFERROR(__xludf.DUMMYFUNCTION("GOOGLETRANSLATE(B602, ""zh"", ""vi"")"),"Hướng dẫn")</f>
        <v/>
      </c>
      <c r="F602" s="8" t="inlineStr">
        <is>
          <t>向导带我们爬山。</t>
        </is>
      </c>
      <c r="H602" s="9">
        <f>G602=B602</f>
        <v/>
      </c>
    </row>
    <row r="603">
      <c r="A603" s="8" t="inlineStr">
        <is>
          <t>bài 13</t>
        </is>
      </c>
      <c r="B603" s="11" t="inlineStr">
        <is>
          <t>一向</t>
        </is>
      </c>
      <c r="C603" s="8">
        <f>pinyin(B603)</f>
        <v/>
      </c>
      <c r="D603" s="8" t="inlineStr">
        <is>
          <t>从过去到现在一直这样</t>
        </is>
      </c>
      <c r="E603" s="8">
        <f>IFERROR(__xludf.DUMMYFUNCTION("GOOGLETRANSLATE(B603, ""zh"", ""vi"")"),"Luôn luôn")</f>
        <v/>
      </c>
      <c r="F603" s="8" t="inlineStr">
        <is>
          <t>他一向很努力。</t>
        </is>
      </c>
      <c r="H603" s="9">
        <f>G603=B603</f>
        <v/>
      </c>
    </row>
    <row r="604">
      <c r="A604" s="8" t="inlineStr">
        <is>
          <t>bài 13</t>
        </is>
      </c>
      <c r="B604" s="11" t="inlineStr">
        <is>
          <t>指南针</t>
        </is>
      </c>
      <c r="C604" s="8">
        <f>pinyin(B604)</f>
        <v/>
      </c>
      <c r="D604" s="8" t="inlineStr">
        <is>
          <t>指示南北方向的工具</t>
        </is>
      </c>
      <c r="E604" s="8">
        <f>IFERROR(__xludf.DUMMYFUNCTION("GOOGLETRANSLATE(B604, ""zh"", ""vi"")"),"la bàn")</f>
        <v/>
      </c>
      <c r="F604" s="8" t="inlineStr">
        <is>
          <t>古代人用指南针辨别方向。</t>
        </is>
      </c>
      <c r="H604" s="9">
        <f>G604=B604</f>
        <v/>
      </c>
    </row>
    <row r="605">
      <c r="A605" s="8" t="inlineStr">
        <is>
          <t>bài 13</t>
        </is>
      </c>
      <c r="B605" s="11" t="inlineStr">
        <is>
          <t>若干</t>
        </is>
      </c>
      <c r="C605" s="8">
        <f>pinyin(B605)</f>
        <v/>
      </c>
      <c r="D605" s="8" t="inlineStr">
        <is>
          <t>一些，不确定数量</t>
        </is>
      </c>
      <c r="E605" s="8" t="inlineStr">
        <is>
          <t>một số, vài, một vài</t>
        </is>
      </c>
      <c r="F605" s="8" t="inlineStr">
        <is>
          <t>我买了若干本书。</t>
        </is>
      </c>
      <c r="H605" s="9">
        <f>G605=B605</f>
        <v/>
      </c>
    </row>
    <row r="606">
      <c r="A606" s="8" t="inlineStr">
        <is>
          <t>bài 13</t>
        </is>
      </c>
      <c r="B606" s="11" t="inlineStr">
        <is>
          <t>遍布</t>
        </is>
      </c>
      <c r="C606" s="8">
        <f>pinyin(B606)</f>
        <v/>
      </c>
      <c r="D606" s="8" t="inlineStr">
        <is>
          <t>到处都有，分布很广</t>
        </is>
      </c>
      <c r="E606" s="8">
        <f>IFERROR(__xludf.DUMMYFUNCTION("GOOGLETRANSLATE(B606, ""zh"", ""vi"")"),"Phổ biến")</f>
        <v/>
      </c>
      <c r="F606" s="8" t="inlineStr">
        <is>
          <t>商店遍布全城。</t>
        </is>
      </c>
      <c r="H606" s="9">
        <f>G606=B606</f>
        <v/>
      </c>
    </row>
    <row r="607">
      <c r="A607" s="8" t="inlineStr">
        <is>
          <t>bài 13</t>
        </is>
      </c>
      <c r="B607" s="11" t="inlineStr">
        <is>
          <t>千方百计</t>
        </is>
      </c>
      <c r="C607" s="8">
        <f>pinyin(B607)</f>
        <v/>
      </c>
      <c r="D607" s="8" t="inlineStr">
        <is>
          <t>想尽一切办法</t>
        </is>
      </c>
      <c r="E607" s="8">
        <f>IFERROR(__xludf.DUMMYFUNCTION("GOOGLETRANSLATE(B607, ""zh"", ""vi"")"),"bằng mọi cách")</f>
        <v/>
      </c>
      <c r="F607" s="8" t="inlineStr">
        <is>
          <t>他千方百计帮助朋友。</t>
        </is>
      </c>
      <c r="H607" s="9">
        <f>G607=B607</f>
        <v/>
      </c>
    </row>
    <row r="608">
      <c r="A608" s="8" t="inlineStr">
        <is>
          <t>bài 13</t>
        </is>
      </c>
      <c r="B608" s="11" t="inlineStr">
        <is>
          <t>书籍</t>
        </is>
      </c>
      <c r="C608" s="8">
        <f>pinyin(B608)</f>
        <v/>
      </c>
      <c r="D608" s="8" t="inlineStr">
        <is>
          <t>书的总称</t>
        </is>
      </c>
      <c r="E608" s="8">
        <f>IFERROR(__xludf.DUMMYFUNCTION("GOOGLETRANSLATE(B608, ""zh"", ""vi"")"),"sách")</f>
        <v/>
      </c>
      <c r="F608" s="8" t="inlineStr">
        <is>
          <t>图书馆有很多书籍。</t>
        </is>
      </c>
      <c r="H608" s="9">
        <f>G608=B608</f>
        <v/>
      </c>
    </row>
    <row r="609">
      <c r="A609" s="8" t="inlineStr">
        <is>
          <t>bài 13</t>
        </is>
      </c>
      <c r="B609" s="11" t="inlineStr">
        <is>
          <t>问世</t>
        </is>
      </c>
      <c r="C609" s="8">
        <f>pinyin(B609)</f>
        <v/>
      </c>
      <c r="D609" s="8" t="inlineStr">
        <is>
          <t>新书或新产品第一次出现</t>
        </is>
      </c>
      <c r="E609" s="8">
        <f>IFERROR(__xludf.DUMMYFUNCTION("GOOGLETRANSLATE(B609, ""zh"", ""vi"")"),"đi ra ngoài")</f>
        <v/>
      </c>
      <c r="F609" s="8" t="inlineStr">
        <is>
          <t>这本书刚刚问世。</t>
        </is>
      </c>
      <c r="H609" s="9">
        <f>G609=B609</f>
        <v/>
      </c>
    </row>
    <row r="610">
      <c r="A610" s="8" t="inlineStr">
        <is>
          <t>bài 13</t>
        </is>
      </c>
      <c r="B610" s="11" t="inlineStr">
        <is>
          <t>一度</t>
        </is>
      </c>
      <c r="C610" s="8">
        <f>pinyin(B610)</f>
        <v/>
      </c>
      <c r="D610" s="8" t="inlineStr">
        <is>
          <t>曾经有一段时间</t>
        </is>
      </c>
      <c r="E610" s="8">
        <f>IFERROR(__xludf.DUMMYFUNCTION("GOOGLETRANSLATE(B610, ""zh"", ""vi"")"),"một lần")</f>
        <v/>
      </c>
      <c r="F610" s="8" t="inlineStr">
        <is>
          <t>我一度很喜欢画画。</t>
        </is>
      </c>
      <c r="H610" s="9">
        <f>G610=B610</f>
        <v/>
      </c>
    </row>
    <row r="611">
      <c r="A611" s="8" t="inlineStr">
        <is>
          <t>bài 13</t>
        </is>
      </c>
      <c r="B611" s="11" t="inlineStr">
        <is>
          <t>轰动</t>
        </is>
      </c>
      <c r="C611" s="8">
        <f>pinyin(B611)</f>
        <v/>
      </c>
      <c r="D611" s="8" t="inlineStr">
        <is>
          <t>引起很多人注意和议论</t>
        </is>
      </c>
      <c r="E611" s="8" t="inlineStr">
        <is>
          <t xml:space="preserve"> gây chấn động</t>
        </is>
      </c>
      <c r="F611" s="8" t="inlineStr">
        <is>
          <t>这条新闻引起轰动。</t>
        </is>
      </c>
      <c r="H611" s="9">
        <f>G611=B611</f>
        <v/>
      </c>
    </row>
    <row r="612">
      <c r="A612" s="8" t="inlineStr">
        <is>
          <t>bài 13</t>
        </is>
      </c>
      <c r="B612" s="11" t="inlineStr">
        <is>
          <t>趣味</t>
        </is>
      </c>
      <c r="C612" s="8">
        <f>pinyin(B612)</f>
        <v/>
      </c>
      <c r="D612" s="8" t="inlineStr">
        <is>
          <t>让人感到有意思的地方</t>
        </is>
      </c>
      <c r="E612" s="8" t="inlineStr">
        <is>
          <t>thú vị</t>
        </is>
      </c>
      <c r="F612" s="8" t="inlineStr">
        <is>
          <t>这本书很有趣味。</t>
        </is>
      </c>
      <c r="H612" s="9">
        <f>G612=B612</f>
        <v/>
      </c>
    </row>
    <row r="613">
      <c r="A613" s="8" t="inlineStr">
        <is>
          <t>bài 13</t>
        </is>
      </c>
      <c r="B613" s="11" t="inlineStr">
        <is>
          <t>人士</t>
        </is>
      </c>
      <c r="C613" s="8">
        <f>pinyin(B613)</f>
        <v/>
      </c>
      <c r="D613" s="8" t="inlineStr">
        <is>
          <t>在某个领域有一定身份的人</t>
        </is>
      </c>
      <c r="E613" s="8">
        <f>IFERROR(__xludf.DUMMYFUNCTION("GOOGLETRANSLATE(B613, ""zh"", ""vi"")"),"người")</f>
        <v/>
      </c>
      <c r="F613" s="8" t="inlineStr">
        <is>
          <t>很多人士参加了会议。</t>
        </is>
      </c>
      <c r="H613" s="9">
        <f>G613=B613</f>
        <v/>
      </c>
    </row>
    <row r="614">
      <c r="A614" s="8" t="inlineStr">
        <is>
          <t>bài 13</t>
        </is>
      </c>
      <c r="B614" s="11" t="inlineStr">
        <is>
          <t>版本</t>
        </is>
      </c>
      <c r="C614" s="8">
        <f>pinyin(B614)</f>
        <v/>
      </c>
      <c r="D614" s="8" t="inlineStr">
        <is>
          <t>同一本书或产品的不同形式</t>
        </is>
      </c>
      <c r="E614" s="8">
        <f>IFERROR(__xludf.DUMMYFUNCTION("GOOGLETRANSLATE(B614, ""zh"", ""vi"")"),"Phiên bản")</f>
        <v/>
      </c>
      <c r="F614" s="8" t="inlineStr">
        <is>
          <t>这本书有两种版本。</t>
        </is>
      </c>
      <c r="H614" s="9">
        <f>G614=B614</f>
        <v/>
      </c>
    </row>
    <row r="615">
      <c r="A615" s="8" t="inlineStr">
        <is>
          <t>bài 13</t>
        </is>
      </c>
      <c r="B615" s="11" t="inlineStr">
        <is>
          <t>发行</t>
        </is>
      </c>
      <c r="C615" s="8">
        <f>pinyin(B615)</f>
        <v/>
      </c>
      <c r="D615" s="8" t="inlineStr">
        <is>
          <t>把书、报纸等发给大众</t>
        </is>
      </c>
      <c r="E615" s="8">
        <f>IFERROR(__xludf.DUMMYFUNCTION("GOOGLETRANSLATE(B615, ""zh"", ""vi"")"),"đã phát hành")</f>
        <v/>
      </c>
      <c r="F615" s="8" t="inlineStr">
        <is>
          <t>这本书已经发行了。</t>
        </is>
      </c>
      <c r="H615" s="9">
        <f>G615=B615</f>
        <v/>
      </c>
    </row>
    <row r="616">
      <c r="A616" s="8" t="inlineStr">
        <is>
          <t>bài 13</t>
        </is>
      </c>
      <c r="B616" s="11" t="inlineStr">
        <is>
          <t>事业</t>
        </is>
      </c>
      <c r="C616" s="8">
        <f>pinyin(B616)</f>
        <v/>
      </c>
      <c r="D616" s="8" t="inlineStr">
        <is>
          <t>需要长期做的大事情或工作</t>
        </is>
      </c>
      <c r="E616" s="8" t="inlineStr">
        <is>
          <t xml:space="preserve"> sự nghiệp</t>
        </is>
      </c>
      <c r="F616" s="8" t="inlineStr">
        <is>
          <t>教育是一项重要的事业。</t>
        </is>
      </c>
      <c r="H616" s="9">
        <f>G616=B616</f>
        <v/>
      </c>
    </row>
    <row r="617">
      <c r="A617" s="8" t="inlineStr">
        <is>
          <t>bài 13</t>
        </is>
      </c>
      <c r="B617" s="11" t="inlineStr">
        <is>
          <t>偏僻</t>
        </is>
      </c>
      <c r="C617" s="8">
        <f>pinyin(B617)</f>
        <v/>
      </c>
      <c r="D617" s="8" t="inlineStr">
        <is>
          <t>离中心远，很安静或不方便的地方</t>
        </is>
      </c>
      <c r="E617" s="8">
        <f>IFERROR(__xludf.DUMMYFUNCTION("GOOGLETRANSLATE(B617, ""zh"", ""vi"")"),"xa")</f>
        <v/>
      </c>
      <c r="F617" s="8" t="inlineStr">
        <is>
          <t>那个村子很偏僻。</t>
        </is>
      </c>
      <c r="H617" s="9">
        <f>G617=B617</f>
        <v/>
      </c>
    </row>
    <row r="618">
      <c r="A618" s="8" t="inlineStr">
        <is>
          <t>bài 13</t>
        </is>
      </c>
      <c r="B618" s="11" t="inlineStr">
        <is>
          <t>沿海</t>
        </is>
      </c>
      <c r="C618" s="8">
        <f>pinyin(B618)</f>
        <v/>
      </c>
      <c r="D618" s="8" t="inlineStr">
        <is>
          <t>靠近海边的地区</t>
        </is>
      </c>
      <c r="E618" s="8">
        <f>IFERROR(__xludf.DUMMYFUNCTION("GOOGLETRANSLATE(B618, ""zh"", ""vi"")"),"ven biển")</f>
        <v/>
      </c>
      <c r="F618" s="8" t="inlineStr">
        <is>
          <t>沿海城市发展很快。</t>
        </is>
      </c>
      <c r="H618" s="9">
        <f>G618=B618</f>
        <v/>
      </c>
    </row>
    <row r="619">
      <c r="A619" s="8" t="inlineStr">
        <is>
          <t>bài 13</t>
        </is>
      </c>
      <c r="B619" s="11" t="inlineStr">
        <is>
          <t>风土人情</t>
        </is>
      </c>
      <c r="C619" s="8">
        <f>pinyin(B619)</f>
        <v/>
      </c>
      <c r="D619" s="8" t="inlineStr">
        <is>
          <t>一个地方的自然环境和人们的生活习惯</t>
        </is>
      </c>
      <c r="E619" s="8">
        <f>IFERROR(__xludf.DUMMYFUNCTION("GOOGLETRANSLATE(B619, ""zh"", ""vi"")"),"Phong tục địa phương")</f>
        <v/>
      </c>
      <c r="F619" s="8" t="inlineStr">
        <is>
          <t>我喜欢了解当地的风土人情。</t>
        </is>
      </c>
      <c r="H619" s="9">
        <f>G619=B619</f>
        <v/>
      </c>
    </row>
    <row r="620">
      <c r="A620" s="8" t="inlineStr">
        <is>
          <t>bài 13</t>
        </is>
      </c>
      <c r="B620" s="11" t="inlineStr">
        <is>
          <t>宗教</t>
        </is>
      </c>
      <c r="C620" s="8">
        <f>pinyin(B620)</f>
        <v/>
      </c>
      <c r="D620" s="8" t="inlineStr">
        <is>
          <t>信仰神或神的系统</t>
        </is>
      </c>
      <c r="E620" s="8">
        <f>IFERROR(__xludf.DUMMYFUNCTION("GOOGLETRANSLATE(B620, ""zh"", ""vi"")"),"tôn giáo")</f>
        <v/>
      </c>
      <c r="F620" s="8" t="inlineStr">
        <is>
          <t>佛教是一种宗教。</t>
        </is>
      </c>
      <c r="H620" s="9">
        <f>G620=B620</f>
        <v/>
      </c>
    </row>
    <row r="621">
      <c r="A621" s="8" t="inlineStr">
        <is>
          <t>bài 13</t>
        </is>
      </c>
      <c r="B621" s="11" t="inlineStr">
        <is>
          <t>考古</t>
        </is>
      </c>
      <c r="C621" s="8">
        <f>pinyin(B621)</f>
        <v/>
      </c>
      <c r="D621" s="8" t="inlineStr">
        <is>
          <t>研究古代留下的东西</t>
        </is>
      </c>
      <c r="E621" s="8">
        <f>IFERROR(__xludf.DUMMYFUNCTION("GOOGLETRANSLATE(B621, ""zh"", ""vi"")"),"khảo cổ học")</f>
        <v/>
      </c>
      <c r="F621" s="8" t="inlineStr">
        <is>
          <t>他喜欢考古。</t>
        </is>
      </c>
      <c r="H621" s="9">
        <f>G621=B621</f>
        <v/>
      </c>
    </row>
    <row r="622">
      <c r="A622" s="8" t="inlineStr">
        <is>
          <t>bài 13</t>
        </is>
      </c>
      <c r="B622" s="11" t="inlineStr">
        <is>
          <t>经费</t>
        </is>
      </c>
      <c r="C622" s="8">
        <f>pinyin(B622)</f>
        <v/>
      </c>
      <c r="D622" s="8" t="inlineStr">
        <is>
          <t>做事情需要的钱</t>
        </is>
      </c>
      <c r="E622" s="8">
        <f>IFERROR(__xludf.DUMMYFUNCTION("GOOGLETRANSLATE(B622, ""zh"", ""vi"")"),"Tài trợ")</f>
        <v/>
      </c>
      <c r="F622" s="8" t="inlineStr">
        <is>
          <t>项目经费不够。</t>
        </is>
      </c>
      <c r="H622" s="9">
        <f>G622=B622</f>
        <v/>
      </c>
    </row>
    <row r="623">
      <c r="A623" s="8" t="inlineStr">
        <is>
          <t>bài 13</t>
        </is>
      </c>
      <c r="B623" s="11" t="inlineStr">
        <is>
          <t>预算</t>
        </is>
      </c>
      <c r="C623" s="8">
        <f>pinyin(B623)</f>
        <v/>
      </c>
      <c r="D623" s="8" t="inlineStr">
        <is>
          <t>提前计算要花多少钱</t>
        </is>
      </c>
      <c r="E623" s="8">
        <f>IFERROR(__xludf.DUMMYFUNCTION("GOOGLETRANSLATE(B623, ""zh"", ""vi"")"),"Ngân sách")</f>
        <v/>
      </c>
      <c r="F623" s="8" t="inlineStr">
        <is>
          <t>做好预算很重要。</t>
        </is>
      </c>
      <c r="H623" s="9">
        <f>G623=B623</f>
        <v/>
      </c>
    </row>
    <row r="624">
      <c r="A624" s="8" t="inlineStr">
        <is>
          <t>bài 13</t>
        </is>
      </c>
      <c r="B624" s="11" t="inlineStr">
        <is>
          <t>参谋</t>
        </is>
      </c>
      <c r="C624" s="8">
        <f>pinyin(B624)</f>
        <v/>
      </c>
      <c r="D624" s="8" t="inlineStr">
        <is>
          <t>帮助别人出主意的人</t>
        </is>
      </c>
      <c r="E624" s="8" t="inlineStr">
        <is>
          <t>cố vấn</t>
        </is>
      </c>
      <c r="F624" s="8" t="inlineStr">
        <is>
          <t>他给我当参谋。</t>
        </is>
      </c>
      <c r="H624" s="9">
        <f>G624=B624</f>
        <v/>
      </c>
    </row>
    <row r="625">
      <c r="A625" s="8" t="inlineStr">
        <is>
          <t>bài 13</t>
        </is>
      </c>
      <c r="B625" s="11" t="inlineStr">
        <is>
          <t>繁体字</t>
        </is>
      </c>
      <c r="C625" s="8">
        <f>pinyin(B625)</f>
        <v/>
      </c>
      <c r="D625" s="8" t="inlineStr">
        <is>
          <t>笔画比较多的汉字</t>
        </is>
      </c>
      <c r="E625" s="8">
        <f>IFERROR(__xludf.DUMMYFUNCTION("GOOGLETRANSLATE(B625, ""zh"", ""vi"")"),"Chữ Hán truyền thống")</f>
        <v/>
      </c>
      <c r="F625" s="8" t="inlineStr">
        <is>
          <t>台湾常用繁体字。</t>
        </is>
      </c>
      <c r="H625" s="9">
        <f>G625=B625</f>
        <v/>
      </c>
    </row>
    <row r="626">
      <c r="A626" s="8" t="inlineStr">
        <is>
          <t>bài 13</t>
        </is>
      </c>
      <c r="B626" s="11" t="inlineStr">
        <is>
          <t>简体字</t>
        </is>
      </c>
      <c r="C626" s="8">
        <f>pinyin(B626)</f>
        <v/>
      </c>
      <c r="D626" s="8" t="inlineStr">
        <is>
          <t>笔画比较少的汉字</t>
        </is>
      </c>
      <c r="E626" s="8">
        <f>IFERROR(__xludf.DUMMYFUNCTION("GOOGLETRANSLATE(B626, ""zh"", ""vi"")"),"Tiếng Trung giản thể")</f>
        <v/>
      </c>
      <c r="F626" s="8" t="inlineStr">
        <is>
          <t>大陆使用简体字。</t>
        </is>
      </c>
      <c r="H626" s="9">
        <f>G626=B626</f>
        <v/>
      </c>
    </row>
    <row r="627">
      <c r="A627" s="8" t="inlineStr">
        <is>
          <t>bài 13</t>
        </is>
      </c>
      <c r="B627" s="11" t="inlineStr">
        <is>
          <t>租赁</t>
        </is>
      </c>
      <c r="C627" s="8">
        <f>pinyin(B627)</f>
        <v/>
      </c>
      <c r="D627" s="8" t="inlineStr">
        <is>
          <t>付钱借用别人的东西（如房子、车）</t>
        </is>
      </c>
      <c r="E627" s="8">
        <f>IFERROR(__xludf.DUMMYFUNCTION("GOOGLETRANSLATE(B627, ""zh"", ""vi"")"),"cho thuê")</f>
        <v/>
      </c>
      <c r="F627" s="8" t="inlineStr">
        <is>
          <t>我租赁了一辆汽车。</t>
        </is>
      </c>
      <c r="H627" s="9">
        <f>G627=B627</f>
        <v/>
      </c>
    </row>
    <row r="628">
      <c r="A628" s="8" t="inlineStr">
        <is>
          <t>bài 13</t>
        </is>
      </c>
      <c r="B628" s="11" t="inlineStr">
        <is>
          <t>帐篷</t>
        </is>
      </c>
      <c r="C628" s="8">
        <f>pinyin(B628)</f>
        <v/>
      </c>
      <c r="D628" s="8" t="inlineStr">
        <is>
          <t>用布或塑料做的临时小房子</t>
        </is>
      </c>
      <c r="E628" s="8">
        <f>IFERROR(__xludf.DUMMYFUNCTION("GOOGLETRANSLATE(B628, ""zh"", ""vi"")"),"lều")</f>
        <v/>
      </c>
      <c r="F628" s="8" t="inlineStr">
        <is>
          <t>我们在山上搭了帐篷。</t>
        </is>
      </c>
      <c r="H628" s="9">
        <f>G628=B628</f>
        <v/>
      </c>
    </row>
    <row r="629">
      <c r="A629" s="8" t="inlineStr">
        <is>
          <t>bài 13</t>
        </is>
      </c>
      <c r="B629" s="11" t="inlineStr">
        <is>
          <t>振兴</t>
        </is>
      </c>
      <c r="C629" s="8">
        <f>pinyin(B629)</f>
        <v/>
      </c>
      <c r="D629" s="8" t="inlineStr">
        <is>
          <t>让衰落的东西重新发展起来</t>
        </is>
      </c>
      <c r="E629" s="8">
        <f>IFERROR(__xludf.DUMMYFUNCTION("GOOGLETRANSLATE(B629, ""zh"", ""vi"")"),"Sự hồi sinh")</f>
        <v/>
      </c>
      <c r="F629" s="8" t="inlineStr">
        <is>
          <t>政府努力振兴旅游业。</t>
        </is>
      </c>
      <c r="H629" s="9">
        <f>G629=B629</f>
        <v/>
      </c>
    </row>
    <row r="630">
      <c r="A630" s="8" t="inlineStr">
        <is>
          <t>bài 13</t>
        </is>
      </c>
      <c r="B630" s="11" t="inlineStr">
        <is>
          <t>产业</t>
        </is>
      </c>
      <c r="C630" s="8">
        <f>pinyin(B630)</f>
        <v/>
      </c>
      <c r="D630" s="8" t="inlineStr">
        <is>
          <t>生产或经济活动的行业</t>
        </is>
      </c>
      <c r="E630" s="8">
        <f>IFERROR(__xludf.DUMMYFUNCTION("GOOGLETRANSLATE(B630, ""zh"", ""vi"")"),"ngành công nghiệp")</f>
        <v/>
      </c>
      <c r="F630" s="8" t="inlineStr">
        <is>
          <t>旅游是重要产业。</t>
        </is>
      </c>
      <c r="H630" s="9">
        <f>G630=B630</f>
        <v/>
      </c>
    </row>
    <row r="631">
      <c r="A631" s="8" t="inlineStr">
        <is>
          <t>bài 13</t>
        </is>
      </c>
      <c r="B631" s="11" t="inlineStr">
        <is>
          <t>家常便饭</t>
        </is>
      </c>
      <c r="C631" s="8">
        <f>pinyin(B631)</f>
        <v/>
      </c>
      <c r="D631" s="8" t="inlineStr">
        <is>
          <t>每天都会发生、很平常的事</t>
        </is>
      </c>
      <c r="E631" s="8">
        <f>IFERROR(__xludf.DUMMYFUNCTION("GOOGLETRANSLATE(B631, ""zh"", ""vi"")"),"Bữa ăn tự nấu tại nhà")</f>
        <v/>
      </c>
      <c r="F631" s="8" t="inlineStr">
        <is>
          <t>对他来说，加班是家常便饭。</t>
        </is>
      </c>
      <c r="H631" s="9">
        <f>G631=B631</f>
        <v/>
      </c>
    </row>
    <row r="632">
      <c r="A632" s="8" t="inlineStr">
        <is>
          <t>bài 14</t>
        </is>
      </c>
      <c r="B632" s="11" t="inlineStr">
        <is>
          <t>北极</t>
        </is>
      </c>
      <c r="C632" s="8">
        <f>pinyin(B632)</f>
        <v/>
      </c>
      <c r="D632" s="8" t="inlineStr">
        <is>
          <t>地球最北边的地区，很冷。</t>
        </is>
      </c>
      <c r="E632" s="8">
        <f>IFERROR(__xludf.DUMMYFUNCTION("GOOGLETRANSLATE(B632, ""zh"", ""vi"")"),"Bắc Cực")</f>
        <v/>
      </c>
      <c r="F632" s="8" t="inlineStr">
        <is>
          <t>北极的冬天非常寒冷，人们需要穿很厚的衣服。</t>
        </is>
      </c>
      <c r="H632" s="9">
        <f>G632=B632</f>
        <v/>
      </c>
    </row>
    <row r="633">
      <c r="A633" s="8" t="inlineStr">
        <is>
          <t>bài 14</t>
        </is>
      </c>
      <c r="B633" s="11" t="inlineStr">
        <is>
          <t>评论</t>
        </is>
      </c>
      <c r="C633" s="8">
        <f>pinyin(B633)</f>
        <v/>
      </c>
      <c r="D633" s="8" t="inlineStr">
        <is>
          <t>对事情发表自己的看法。</t>
        </is>
      </c>
      <c r="E633" s="8">
        <f>IFERROR(__xludf.DUMMYFUNCTION("GOOGLETRANSLATE(B633, ""zh"", ""vi"")"),"Bình luận")</f>
        <v/>
      </c>
      <c r="F633" s="8" t="inlineStr">
        <is>
          <t>老师让我们对这篇文章进行评论。</t>
        </is>
      </c>
      <c r="H633" s="9">
        <f>G633=B633</f>
        <v/>
      </c>
    </row>
    <row r="634">
      <c r="A634" s="8" t="inlineStr">
        <is>
          <t>bài 14</t>
        </is>
      </c>
      <c r="B634" s="11" t="inlineStr">
        <is>
          <t>典型</t>
        </is>
      </c>
      <c r="C634" s="8">
        <f>pinyin(B634)</f>
        <v/>
      </c>
      <c r="D634" s="8" t="inlineStr">
        <is>
          <t>具有代表性的人或事物。</t>
        </is>
      </c>
      <c r="E634" s="8">
        <f>IFERROR(__xludf.DUMMYFUNCTION("GOOGLETRANSLATE(B634, ""zh"", ""vi"")"),"đặc trưng")</f>
        <v/>
      </c>
      <c r="F634" s="8" t="inlineStr">
        <is>
          <t>他是我见过的最典型的知识分子。</t>
        </is>
      </c>
      <c r="H634" s="9">
        <f>G634=B634</f>
        <v/>
      </c>
    </row>
    <row r="635">
      <c r="A635" s="8" t="inlineStr">
        <is>
          <t>bài 14</t>
        </is>
      </c>
      <c r="B635" s="11" t="inlineStr">
        <is>
          <t>考察</t>
        </is>
      </c>
      <c r="C635" s="8">
        <f>pinyin(B635)</f>
        <v/>
      </c>
      <c r="D635" s="8" t="inlineStr">
        <is>
          <t>到现场去调查研究。</t>
        </is>
      </c>
      <c r="E635" s="8">
        <f>IFERROR(__xludf.DUMMYFUNCTION("GOOGLETRANSLATE(B635, ""zh"", ""vi"")"),"Cuộc điều tra")</f>
        <v/>
      </c>
      <c r="F635" s="8" t="inlineStr">
        <is>
          <t>科学家们去北极考察环境变化。</t>
        </is>
      </c>
      <c r="H635" s="9">
        <f>G635=B635</f>
        <v/>
      </c>
    </row>
    <row r="636">
      <c r="A636" s="8" t="inlineStr">
        <is>
          <t>bài 14</t>
        </is>
      </c>
      <c r="B636" s="11" t="inlineStr">
        <is>
          <t>访问</t>
        </is>
      </c>
      <c r="C636" s="8">
        <f>pinyin(B636)</f>
        <v/>
      </c>
      <c r="D636" s="8" t="inlineStr">
        <is>
          <t>去别人那里看望或交流。</t>
        </is>
      </c>
      <c r="E636" s="8">
        <f>IFERROR(__xludf.DUMMYFUNCTION("GOOGLETRANSLATE(B636, ""zh"", ""vi"")"),"truy cập")</f>
        <v/>
      </c>
      <c r="F636" s="8" t="inlineStr">
        <is>
          <t>我们学校经常有外国客人来访问。</t>
        </is>
      </c>
      <c r="H636" s="9">
        <f>G636=B636</f>
        <v/>
      </c>
    </row>
    <row r="637">
      <c r="A637" s="8" t="inlineStr">
        <is>
          <t>bài 14</t>
        </is>
      </c>
      <c r="B637" s="11" t="inlineStr">
        <is>
          <t>高峰</t>
        </is>
      </c>
      <c r="C637" s="8">
        <f>pinyin(B637)</f>
        <v/>
      </c>
      <c r="D637" s="8" t="inlineStr">
        <is>
          <t>最高点，事业或数量最多的时期。</t>
        </is>
      </c>
      <c r="E637" s="8">
        <f>IFERROR(__xludf.DUMMYFUNCTION("GOOGLETRANSLATE(B637, ""zh"", ""vi"")"),"đỉnh cao")</f>
        <v/>
      </c>
      <c r="F637" s="8" t="inlineStr">
        <is>
          <t>他现在正处于事业的高峰。</t>
        </is>
      </c>
      <c r="H637" s="9">
        <f>G637=B637</f>
        <v/>
      </c>
    </row>
    <row r="638">
      <c r="A638" s="8" t="inlineStr">
        <is>
          <t>bài 14</t>
        </is>
      </c>
      <c r="B638" s="11" t="inlineStr">
        <is>
          <t>毅然</t>
        </is>
      </c>
      <c r="C638" s="8">
        <f>pinyin(B638)</f>
        <v/>
      </c>
      <c r="D638" s="8" t="inlineStr">
        <is>
          <t>坚决地、毫不犹豫地做决定。</t>
        </is>
      </c>
      <c r="E638" s="8">
        <f>IFERROR(__xludf.DUMMYFUNCTION("GOOGLETRANSLATE(B638, ""zh"", ""vi"")"),"Kiên quyết")</f>
        <v/>
      </c>
      <c r="F638" s="8" t="inlineStr">
        <is>
          <t>她毅然辞去了高薪的工作。</t>
        </is>
      </c>
      <c r="H638" s="9">
        <f>G638=B638</f>
        <v/>
      </c>
    </row>
    <row r="639">
      <c r="A639" s="8" t="inlineStr">
        <is>
          <t>bài 14</t>
        </is>
      </c>
      <c r="B639" s="11" t="inlineStr">
        <is>
          <t>疲惫</t>
        </is>
      </c>
      <c r="C639" s="8">
        <f>pinyin(B639)</f>
        <v/>
      </c>
      <c r="D639" s="8" t="inlineStr">
        <is>
          <t>身体和精神都很累。</t>
        </is>
      </c>
      <c r="E639" s="8">
        <f>IFERROR(__xludf.DUMMYFUNCTION("GOOGLETRANSLATE(B639, ""zh"", ""vi"")"),"kiệt sức")</f>
        <v/>
      </c>
      <c r="F639" s="8" t="inlineStr">
        <is>
          <t>连续工作几天后，他感到非常疲惫。</t>
        </is>
      </c>
      <c r="H639" s="9">
        <f>G639=B639</f>
        <v/>
      </c>
    </row>
    <row r="640">
      <c r="A640" s="8" t="inlineStr">
        <is>
          <t>bài 14</t>
        </is>
      </c>
      <c r="B640" s="11" t="inlineStr">
        <is>
          <t>力所能及</t>
        </is>
      </c>
      <c r="C640" s="8">
        <f>pinyin(B640)</f>
        <v/>
      </c>
      <c r="D640" s="8" t="inlineStr">
        <is>
          <t>自己能力可以做到的范围。</t>
        </is>
      </c>
      <c r="E640" s="8">
        <f>IFERROR(__xludf.DUMMYFUNCTION("GOOGLETRANSLATE(B640, ""zh"", ""vi"")"),"Trong phạm vi khả năng của mỗi người")</f>
        <v/>
      </c>
      <c r="F640" s="8" t="inlineStr">
        <is>
          <t>我只能做一些力所能及的事情帮你。</t>
        </is>
      </c>
      <c r="H640" s="9">
        <f>G640=B640</f>
        <v/>
      </c>
    </row>
    <row r="641">
      <c r="A641" s="8" t="inlineStr">
        <is>
          <t>bài 14</t>
        </is>
      </c>
      <c r="B641" s="11" t="inlineStr">
        <is>
          <t>开拓</t>
        </is>
      </c>
      <c r="C641" s="8">
        <f>pinyin(B641)</f>
        <v/>
      </c>
      <c r="D641" s="8" t="inlineStr">
        <is>
          <t>开辟新的领域或道路。</t>
        </is>
      </c>
      <c r="E641" s="8">
        <f>IFERROR(__xludf.DUMMYFUNCTION("GOOGLETRANSLATE(B641, ""zh"", ""vi"")"),"mở ra")</f>
        <v/>
      </c>
      <c r="F641" s="8" t="inlineStr">
        <is>
          <t>公司决定开拓海外市场。</t>
        </is>
      </c>
      <c r="H641" s="9">
        <f>G641=B641</f>
        <v/>
      </c>
    </row>
    <row r="642">
      <c r="A642" s="8" t="inlineStr">
        <is>
          <t>bài 14</t>
        </is>
      </c>
      <c r="B642" s="11" t="inlineStr">
        <is>
          <t>职务</t>
        </is>
      </c>
      <c r="C642" s="8">
        <f>pinyin(B642)</f>
        <v/>
      </c>
      <c r="D642" s="8" t="inlineStr">
        <is>
          <t>工作中的职位、责任。</t>
        </is>
      </c>
      <c r="E642" s="8">
        <f>IFERROR(__xludf.DUMMYFUNCTION("GOOGLETRANSLATE(B642, ""zh"", ""vi"")"),"Công việc")</f>
        <v/>
      </c>
      <c r="F642" s="8" t="inlineStr">
        <is>
          <t>他目前担任公司经理的职务。</t>
        </is>
      </c>
      <c r="H642" s="9">
        <f>G642=B642</f>
        <v/>
      </c>
    </row>
    <row r="643">
      <c r="A643" s="8" t="inlineStr">
        <is>
          <t>bài 14</t>
        </is>
      </c>
      <c r="B643" s="11" t="inlineStr">
        <is>
          <t>捆绑</t>
        </is>
      </c>
      <c r="C643" s="8">
        <f>to_p</f>
        <v/>
      </c>
      <c r="D643" s="8" t="inlineStr">
        <is>
          <t>用绳子绑住，也指被束缚住。</t>
        </is>
      </c>
      <c r="E643" s="8">
        <f>IFERROR(__xludf.DUMMYFUNCTION("GOOGLETRANSLATE(B643, ""zh"", ""vi"")"),"sự trói buộc")</f>
        <v/>
      </c>
      <c r="F643" s="8" t="inlineStr">
        <is>
          <t>他感觉被工作和家庭捆绑着，无法自由。</t>
        </is>
      </c>
      <c r="H643" s="9">
        <f>G643=B643</f>
        <v/>
      </c>
    </row>
    <row r="644">
      <c r="A644" s="8" t="inlineStr">
        <is>
          <t>bài 14</t>
        </is>
      </c>
      <c r="B644" s="11" t="inlineStr">
        <is>
          <t>释放</t>
        </is>
      </c>
      <c r="C644" s="8">
        <f>pinyin(B644)</f>
        <v/>
      </c>
      <c r="D644" s="8" t="inlineStr">
        <is>
          <t>把被束缚的东西放开、解脱。</t>
        </is>
      </c>
      <c r="E644" s="8">
        <f>IFERROR(__xludf.DUMMYFUNCTION("GOOGLETRANSLATE(B644, ""zh"", ""vi"")"),"giải phóng")</f>
        <v/>
      </c>
      <c r="F644" s="8" t="inlineStr">
        <is>
          <t>辞职以后，他觉得自己被释放了，一身轻松。</t>
        </is>
      </c>
      <c r="H644" s="9">
        <f>G644=B644</f>
        <v/>
      </c>
    </row>
    <row r="645">
      <c r="A645" s="8" t="inlineStr">
        <is>
          <t>bài 14</t>
        </is>
      </c>
      <c r="B645" s="11" t="inlineStr">
        <is>
          <t>出身</t>
        </is>
      </c>
      <c r="C645" s="8">
        <f>pinyin(B645)</f>
        <v/>
      </c>
      <c r="D645" s="8" t="inlineStr">
        <is>
          <t>家庭或早年的背景情况。</t>
        </is>
      </c>
      <c r="E645" s="8">
        <f>IFERROR(__xludf.DUMMYFUNCTION("GOOGLETRANSLATE(B645, ""zh"", ""vi"")"),"nguồn gốc")</f>
        <v/>
      </c>
      <c r="F645" s="8" t="inlineStr">
        <is>
          <t>她出身于农民家庭，从小生活很艰苦。</t>
        </is>
      </c>
      <c r="H645" s="9">
        <f>G645=B645</f>
        <v/>
      </c>
    </row>
    <row r="646">
      <c r="A646" s="8" t="inlineStr">
        <is>
          <t>bài 14</t>
        </is>
      </c>
      <c r="B646" s="11" t="inlineStr">
        <is>
          <t>严寒</t>
        </is>
      </c>
      <c r="C646" s="8">
        <f>pinyin(B646)</f>
        <v/>
      </c>
      <c r="D646" s="8" t="inlineStr">
        <is>
          <t>非常冷的天气。</t>
        </is>
      </c>
      <c r="E646" s="8">
        <f>IFERROR(__xludf.DUMMYFUNCTION("GOOGLETRANSLATE(B646, ""zh"", ""vi"")"),"lạnh giá khắc nghiệt")</f>
        <v/>
      </c>
      <c r="F646" s="8" t="inlineStr">
        <is>
          <t>北极的严寒让很多人无法忍受。</t>
        </is>
      </c>
      <c r="H646" s="9">
        <f>G646=B646</f>
        <v/>
      </c>
    </row>
    <row r="647">
      <c r="A647" s="8" t="inlineStr">
        <is>
          <t>bài 14</t>
        </is>
      </c>
      <c r="B647" s="11" t="inlineStr">
        <is>
          <t>难以</t>
        </is>
      </c>
      <c r="C647" s="8">
        <f>pinyin(B647)</f>
        <v/>
      </c>
      <c r="D647" s="8" t="inlineStr">
        <is>
          <t>很难做到或很难发生。</t>
        </is>
      </c>
      <c r="E647" s="8">
        <f>IFERROR(__xludf.DUMMYFUNCTION("GOOGLETRANSLATE(B647, ""zh"", ""vi"")"),"khó ")</f>
        <v/>
      </c>
      <c r="F647" s="8" t="inlineStr">
        <is>
          <t>这么大的困难让人难以想象。</t>
        </is>
      </c>
      <c r="H647" s="9">
        <f>G647=B647</f>
        <v/>
      </c>
    </row>
    <row r="648">
      <c r="A648" s="8" t="inlineStr">
        <is>
          <t>bài 14</t>
        </is>
      </c>
      <c r="B648" s="11" t="inlineStr">
        <is>
          <t>头脑</t>
        </is>
      </c>
      <c r="C648" s="8">
        <f>pinyin(B648)</f>
        <v/>
      </c>
      <c r="D648" s="8" t="inlineStr">
        <is>
          <t>思考的能力或清醒的意识。</t>
        </is>
      </c>
      <c r="E648" s="8">
        <f>IFERROR(__xludf.DUMMYFUNCTION("GOOGLETRANSLATE(B648, ""zh"", ""vi"")"),"tâm trí")</f>
        <v/>
      </c>
      <c r="F648" s="8" t="inlineStr">
        <is>
          <t>遇到紧急情况一定要保持清醒的头脑。</t>
        </is>
      </c>
      <c r="H648" s="9">
        <f>G648=B648</f>
        <v/>
      </c>
    </row>
    <row r="649">
      <c r="A649" s="8" t="inlineStr">
        <is>
          <t>bài 14</t>
        </is>
      </c>
      <c r="B649" s="11" t="inlineStr">
        <is>
          <t>遭遇</t>
        </is>
      </c>
      <c r="C649" s="8">
        <f>pinyin(B649)</f>
        <v/>
      </c>
      <c r="D649" s="8" t="inlineStr">
        <is>
          <t>遇到不好的事情。</t>
        </is>
      </c>
      <c r="E649" s="8">
        <f>IFERROR(__xludf.DUMMYFUNCTION("GOOGLETRANSLATE(B649, ""zh"", ""vi"")"),"bắt gặp")</f>
        <v/>
      </c>
      <c r="F649" s="8" t="inlineStr">
        <is>
          <t>他在旅途中遭遇了严重的车祸。</t>
        </is>
      </c>
      <c r="H649" s="9">
        <f>G649=B649</f>
        <v/>
      </c>
    </row>
    <row r="650">
      <c r="A650" s="8" t="inlineStr">
        <is>
          <t>bài 14</t>
        </is>
      </c>
      <c r="B650" s="11" t="inlineStr">
        <is>
          <t>灾难</t>
        </is>
      </c>
      <c r="C650" s="8">
        <f>pinyin(B650)</f>
        <v/>
      </c>
      <c r="D650" s="8" t="inlineStr">
        <is>
          <t>非常严重的灾害或不幸。</t>
        </is>
      </c>
      <c r="E650" s="8">
        <f>IFERROR(__xludf.DUMMYFUNCTION("GOOGLETRANSLATE(B650, ""zh"", ""vi"")"),"thảm họa")</f>
        <v/>
      </c>
      <c r="F650" s="8" t="inlineStr">
        <is>
          <t>这场地震给当地人民带来了巨大灾难。</t>
        </is>
      </c>
      <c r="H650" s="9">
        <f>G650=B650</f>
        <v/>
      </c>
    </row>
    <row r="651">
      <c r="A651" s="8" t="inlineStr">
        <is>
          <t>bài 14</t>
        </is>
      </c>
      <c r="B651" s="11" t="inlineStr">
        <is>
          <t>饥饿</t>
        </is>
      </c>
      <c r="C651" s="8">
        <f>pinyin(B651)</f>
        <v/>
      </c>
      <c r="D651" s="8" t="inlineStr">
        <is>
          <t>肚子很饿、缺少食物。</t>
        </is>
      </c>
      <c r="E651" s="8">
        <f>IFERROR(__xludf.DUMMYFUNCTION("GOOGLETRANSLATE(B651, ""zh"", ""vi"")"),"đói")</f>
        <v/>
      </c>
      <c r="F651" s="8" t="inlineStr">
        <is>
          <t>在灾区，很多孩子仍然忍受着饥饿。</t>
        </is>
      </c>
      <c r="H651" s="9">
        <f>G651=B651</f>
        <v/>
      </c>
    </row>
    <row r="652">
      <c r="A652" s="8" t="inlineStr">
        <is>
          <t>bài 14</t>
        </is>
      </c>
      <c r="B652" s="11" t="inlineStr">
        <is>
          <t>风暴</t>
        </is>
      </c>
      <c r="C652" s="8">
        <f>pinyin(B652)</f>
        <v/>
      </c>
      <c r="D652" s="8" t="inlineStr">
        <is>
          <t>强烈的风和雨的天气现象。</t>
        </is>
      </c>
      <c r="E652" s="8">
        <f>IFERROR(__xludf.DUMMYFUNCTION("GOOGLETRANSLATE(B652, ""zh"", ""vi"")"),"bão")</f>
        <v/>
      </c>
      <c r="F652" s="8" t="inlineStr">
        <is>
          <t>船在海上遇到了猛烈的风暴。</t>
        </is>
      </c>
      <c r="H652" s="9">
        <f>G652=B652</f>
        <v/>
      </c>
    </row>
    <row r="653">
      <c r="A653" s="8" t="inlineStr">
        <is>
          <t>bài 14</t>
        </is>
      </c>
      <c r="B653" s="11" t="inlineStr">
        <is>
          <t>鼓动</t>
        </is>
      </c>
      <c r="C653" s="8">
        <f>pinyin(B653)</f>
        <v/>
      </c>
      <c r="D653" s="8" t="inlineStr">
        <is>
          <t>激发别人去做某事。</t>
        </is>
      </c>
      <c r="E653" s="8" t="inlineStr">
        <is>
          <t>cổ động</t>
        </is>
      </c>
      <c r="F653" s="8" t="inlineStr">
        <is>
          <t>他的演讲鼓动很多人参加了这次活动。</t>
        </is>
      </c>
      <c r="H653" s="9">
        <f>G653=B653</f>
        <v/>
      </c>
    </row>
    <row r="654">
      <c r="A654" s="8" t="inlineStr">
        <is>
          <t>bài 14</t>
        </is>
      </c>
      <c r="B654" s="11" t="inlineStr">
        <is>
          <t>抢救</t>
        </is>
      </c>
      <c r="C654" s="8">
        <f>pinyin(B654)</f>
        <v/>
      </c>
      <c r="D654" s="8" t="inlineStr">
        <is>
          <t>紧急救护生命或物品。</t>
        </is>
      </c>
      <c r="E654" s="8">
        <f>IFERROR(__xludf.DUMMYFUNCTION("GOOGLETRANSLATE(B654, ""zh"", ""vi"")"),"giải thoát")</f>
        <v/>
      </c>
      <c r="F654" s="8" t="inlineStr">
        <is>
          <t>医生们正在全力抢救受伤的病人。</t>
        </is>
      </c>
      <c r="H654" s="9">
        <f>G654=B654</f>
        <v/>
      </c>
    </row>
    <row r="655">
      <c r="A655" s="8" t="inlineStr">
        <is>
          <t>bài 14</t>
        </is>
      </c>
      <c r="B655" s="11" t="inlineStr">
        <is>
          <t>刻不容缓</t>
        </is>
      </c>
      <c r="C655" s="8">
        <f>pinyin(B655)</f>
        <v/>
      </c>
      <c r="D655" s="8" t="inlineStr">
        <is>
          <t>非常紧急，一刻也不能耽误。</t>
        </is>
      </c>
      <c r="E655" s="8">
        <f>IFERROR(__xludf.DUMMYFUNCTION("GOOGLETRANSLATE(B655, ""zh"", ""vi"")"),"Không còn thời gian để lãng phí")</f>
        <v/>
      </c>
      <c r="F655" s="8" t="inlineStr">
        <is>
          <t>救灾工作刻不容缓，必须立即行动。</t>
        </is>
      </c>
      <c r="H655" s="9">
        <f>G655=B655</f>
        <v/>
      </c>
    </row>
    <row r="656">
      <c r="A656" s="8" t="inlineStr">
        <is>
          <t>bài 14</t>
        </is>
      </c>
      <c r="B656" s="11" t="inlineStr">
        <is>
          <t>支出</t>
        </is>
      </c>
      <c r="C656" s="8">
        <f>pinyin(B656)</f>
        <v/>
      </c>
      <c r="D656" s="8" t="inlineStr">
        <is>
          <t>花出去的钱。</t>
        </is>
      </c>
      <c r="E656" s="8">
        <f>IFERROR(__xludf.DUMMYFUNCTION("GOOGLETRANSLATE(B656, ""zh"", ""vi"")"),"chi tiêu")</f>
        <v/>
      </c>
      <c r="F656" s="8" t="inlineStr">
        <is>
          <t>这个项目的支出比原来预计的要多。</t>
        </is>
      </c>
      <c r="H656" s="9">
        <f>G656=B656</f>
        <v/>
      </c>
    </row>
    <row r="657">
      <c r="A657" s="8" t="inlineStr">
        <is>
          <t>bài 14</t>
        </is>
      </c>
      <c r="B657" s="11" t="inlineStr">
        <is>
          <t>精打细算</t>
        </is>
      </c>
      <c r="C657" s="8">
        <f>pinyin(B657)</f>
        <v/>
      </c>
      <c r="D657" s="8" t="inlineStr">
        <is>
          <t>仔细计算每一笔花费。</t>
        </is>
      </c>
      <c r="E657" s="8">
        <f>IFERROR(__xludf.DUMMYFUNCTION("GOOGLETRANSLATE(B657, ""zh"", ""vi"")"),"tiết kiệm")</f>
        <v/>
      </c>
      <c r="F657" s="8" t="inlineStr">
        <is>
          <t>她生活上一直精打细算，从不浪费。</t>
        </is>
      </c>
      <c r="H657" s="9">
        <f>G657=B657</f>
        <v/>
      </c>
    </row>
    <row r="658">
      <c r="A658" s="8" t="inlineStr">
        <is>
          <t>bài 14</t>
        </is>
      </c>
      <c r="B658" s="11" t="inlineStr">
        <is>
          <t>开支</t>
        </is>
      </c>
      <c r="C658" s="8">
        <f>pinyin(B658)</f>
        <v/>
      </c>
      <c r="D658" s="8" t="inlineStr">
        <is>
          <t>花钱的总数。</t>
        </is>
      </c>
      <c r="E658" s="8" t="inlineStr">
        <is>
          <t>lập kế hoạch chi tiêu</t>
        </is>
      </c>
      <c r="F658" s="8" t="inlineStr">
        <is>
          <t>每个月家庭开支都需要认真记录。</t>
        </is>
      </c>
      <c r="H658" s="9">
        <f>G658=B658</f>
        <v/>
      </c>
    </row>
    <row r="659">
      <c r="A659" s="8" t="inlineStr">
        <is>
          <t>bài 14</t>
        </is>
      </c>
      <c r="B659" s="11" t="inlineStr">
        <is>
          <t>免得</t>
        </is>
      </c>
      <c r="C659" s="8">
        <f>pinyin(B659)</f>
        <v/>
      </c>
      <c r="D659" s="8" t="inlineStr">
        <is>
          <t>为了避免发生不好的情况。</t>
        </is>
      </c>
      <c r="E659" s="8">
        <f>IFERROR(__xludf.DUMMYFUNCTION("GOOGLETRANSLATE(B659, ""zh"", ""vi"")"),"e rằng")</f>
        <v/>
      </c>
      <c r="F659" s="8" t="inlineStr">
        <is>
          <t>早点出发，免得路上堵车迟到。</t>
        </is>
      </c>
      <c r="H659" s="9">
        <f>G659=B659</f>
        <v/>
      </c>
    </row>
    <row r="660">
      <c r="A660" s="8" t="inlineStr">
        <is>
          <t>bài 14</t>
        </is>
      </c>
      <c r="B660" s="11" t="inlineStr">
        <is>
          <t>储蓄</t>
        </is>
      </c>
      <c r="C660" s="8">
        <f>pinyin(B660)</f>
        <v/>
      </c>
      <c r="D660" s="8" t="inlineStr">
        <is>
          <t>存起来的钱。</t>
        </is>
      </c>
      <c r="E660" s="8">
        <f>IFERROR(__xludf.DUMMYFUNCTION("GOOGLETRANSLATE(B660, ""zh"", ""vi"")"),"Tiết kiệm")</f>
        <v/>
      </c>
      <c r="F660" s="8" t="inlineStr">
        <is>
          <t>他把多年的储蓄都用来买房子了。</t>
        </is>
      </c>
      <c r="H660" s="9">
        <f>G660=B660</f>
        <v/>
      </c>
    </row>
    <row r="661">
      <c r="A661" s="8" t="inlineStr">
        <is>
          <t>bài 14</t>
        </is>
      </c>
      <c r="B661" s="11" t="inlineStr">
        <is>
          <t>记载</t>
        </is>
      </c>
      <c r="C661" s="8">
        <f>pinyin(B661)</f>
        <v/>
      </c>
      <c r="D661" s="8" t="inlineStr">
        <is>
          <t>把事情写下来记录。</t>
        </is>
      </c>
      <c r="E661" s="8">
        <f>IFERROR(__xludf.DUMMYFUNCTION("GOOGLETRANSLATE(B661, ""zh"", ""vi"")"),"Hồ sơ")</f>
        <v/>
      </c>
      <c r="F661" s="8" t="inlineStr">
        <is>
          <t>这本书详细记载了北极的历史。</t>
        </is>
      </c>
      <c r="H661" s="9">
        <f>G661=B661</f>
        <v/>
      </c>
    </row>
    <row r="662">
      <c r="A662" s="8" t="inlineStr">
        <is>
          <t>bài 14</t>
        </is>
      </c>
      <c r="B662" s="11" t="inlineStr">
        <is>
          <t>惊奇</t>
        </is>
      </c>
      <c r="C662" s="8">
        <f>pinyin(B662)</f>
        <v/>
      </c>
      <c r="D662" s="8" t="inlineStr">
        <is>
          <t>感到很吃惊和奇怪。</t>
        </is>
      </c>
      <c r="E662" s="8">
        <f>IFERROR(__xludf.DUMMYFUNCTION("GOOGLETRANSLATE(B662, ""zh"", ""vi"")"),"Sự ngạc nhiên")</f>
        <v/>
      </c>
      <c r="F662" s="8" t="inlineStr">
        <is>
          <t>看到现代的北极，他感到非常惊奇。</t>
        </is>
      </c>
      <c r="H662" s="9">
        <f>G662=B662</f>
        <v/>
      </c>
    </row>
    <row r="663">
      <c r="A663" s="8" t="inlineStr">
        <is>
          <t>bài 14</t>
        </is>
      </c>
      <c r="B663" s="11" t="inlineStr">
        <is>
          <t>差别</t>
        </is>
      </c>
      <c r="C663" s="8">
        <f>pinyin(B663)</f>
        <v/>
      </c>
      <c r="D663" s="8" t="inlineStr">
        <is>
          <t>两者之间的不同之处。</t>
        </is>
      </c>
      <c r="E663" s="8">
        <f>IFERROR(__xludf.DUMMYFUNCTION("GOOGLETRANSLATE(B663, ""zh"", ""vi"")"),"sự khác biệt")</f>
        <v/>
      </c>
      <c r="F663" s="8" t="inlineStr">
        <is>
          <t>现实情况和书本描述有很大差别。</t>
        </is>
      </c>
      <c r="H663" s="9">
        <f>G663=B663</f>
        <v/>
      </c>
    </row>
    <row r="664">
      <c r="A664" s="8" t="inlineStr">
        <is>
          <t>bài 14</t>
        </is>
      </c>
      <c r="B664" s="11" t="inlineStr">
        <is>
          <t>连锁</t>
        </is>
      </c>
      <c r="C664" s="8">
        <f>pinyin(B664)</f>
        <v/>
      </c>
      <c r="D664" s="8" t="inlineStr">
        <is>
          <t>一环接一环、连续的反应。</t>
        </is>
      </c>
      <c r="E664" s="8" t="inlineStr">
        <is>
          <t>chuỗi, xích, mạng lưới</t>
        </is>
      </c>
      <c r="F664" s="8" t="inlineStr">
        <is>
          <t>一个问题可能会引发连锁反应。</t>
        </is>
      </c>
      <c r="H664" s="9">
        <f>G664=B664</f>
        <v/>
      </c>
    </row>
    <row r="665">
      <c r="A665" s="8" t="inlineStr">
        <is>
          <t>bài 14</t>
        </is>
      </c>
      <c r="B665" s="11" t="inlineStr">
        <is>
          <t>在意</t>
        </is>
      </c>
      <c r="C665" s="8">
        <f>pinyin(B665)</f>
        <v/>
      </c>
      <c r="D665" s="8" t="inlineStr">
        <is>
          <t>放在心上、关心注意。</t>
        </is>
      </c>
      <c r="E665" s="8">
        <f>IFERROR(__xludf.DUMMYFUNCTION("GOOGLETRANSLATE(B665, ""zh"", ""vi"")"),"chăm sóc")</f>
        <v/>
      </c>
      <c r="F665" s="8" t="inlineStr">
        <is>
          <t>不要太在意别人对你的评价。</t>
        </is>
      </c>
      <c r="H665" s="9">
        <f>G665=B665</f>
        <v/>
      </c>
    </row>
    <row r="666">
      <c r="A666" s="8" t="inlineStr">
        <is>
          <t>bài 14</t>
        </is>
      </c>
      <c r="B666" s="11" t="inlineStr">
        <is>
          <t>捕捉</t>
        </is>
      </c>
      <c r="C666" s="8">
        <f>pinyin(B666)</f>
        <v/>
      </c>
      <c r="D666" s="8" t="inlineStr">
        <is>
          <t>抓住、拍下来。</t>
        </is>
      </c>
      <c r="E666" s="8">
        <f>IFERROR(__xludf.DUMMYFUNCTION("GOOGLETRANSLATE(B666, ""zh"", ""vi"")"),"Chiếm lấy")</f>
        <v/>
      </c>
      <c r="F666" s="8" t="inlineStr">
        <is>
          <t>摄影师捕捉到了北极熊的精彩画面。</t>
        </is>
      </c>
      <c r="H666" s="9">
        <f>G666=B666</f>
        <v/>
      </c>
    </row>
    <row r="667">
      <c r="A667" s="8" t="inlineStr">
        <is>
          <t>bài 14</t>
        </is>
      </c>
      <c r="B667" s="11" t="inlineStr">
        <is>
          <t>支配</t>
        </is>
      </c>
      <c r="C667" s="8">
        <f>pinyin(B667)</f>
        <v/>
      </c>
      <c r="D667" s="8" t="inlineStr">
        <is>
          <t>控制和安排。</t>
        </is>
      </c>
      <c r="E667" s="8">
        <f>IFERROR(__xludf.DUMMYFUNCTION("GOOGLETRANSLATE(B667, ""zh"", ""vi"")"),"Thống trị")</f>
        <v/>
      </c>
      <c r="F667" s="8" t="inlineStr">
        <is>
          <t>我们要学会支配自己的时间和生活。</t>
        </is>
      </c>
      <c r="H667" s="9">
        <f>G667=B667</f>
        <v/>
      </c>
    </row>
    <row r="668">
      <c r="A668" s="8" t="inlineStr">
        <is>
          <t>bài 14</t>
        </is>
      </c>
      <c r="B668" s="11" t="inlineStr">
        <is>
          <t>包装</t>
        </is>
      </c>
      <c r="C668" s="8">
        <f>pinyin(B668)</f>
        <v/>
      </c>
      <c r="D668" s="8" t="inlineStr">
        <is>
          <t>把东西包起来。</t>
        </is>
      </c>
      <c r="E668" s="8">
        <f>IFERROR(__xludf.DUMMYFUNCTION("GOOGLETRANSLATE(B668, ""zh"", ""vi"")"),"Bưu kiện")</f>
        <v/>
      </c>
      <c r="F668" s="8" t="inlineStr">
        <is>
          <t>这个礼物包装得很漂亮。</t>
        </is>
      </c>
      <c r="H668" s="9">
        <f>G668=B668</f>
        <v/>
      </c>
    </row>
    <row r="669">
      <c r="A669" s="8" t="inlineStr">
        <is>
          <t>bài 14</t>
        </is>
      </c>
      <c r="B669" s="11" t="inlineStr">
        <is>
          <t>衣裳</t>
        </is>
      </c>
      <c r="C669" s="8">
        <f>pinyin(B669)</f>
        <v/>
      </c>
      <c r="D669" s="8" t="inlineStr">
        <is>
          <t>衣服。</t>
        </is>
      </c>
      <c r="E669" s="8">
        <f>IFERROR(__xludf.DUMMYFUNCTION("GOOGLETRANSLATE(B669, ""zh"", ""vi"")"),"quần áo")</f>
        <v/>
      </c>
      <c r="F669" s="8" t="inlineStr">
        <is>
          <t>她今天穿了一件漂亮的衣裳。</t>
        </is>
      </c>
      <c r="H669" s="9">
        <f>G669=B669</f>
        <v/>
      </c>
    </row>
    <row r="670">
      <c r="A670" s="8" t="inlineStr">
        <is>
          <t>bài 14</t>
        </is>
      </c>
      <c r="B670" s="11" t="inlineStr">
        <is>
          <t>潇洒</t>
        </is>
      </c>
      <c r="C670" s="8">
        <f>pinyin(B670)</f>
        <v/>
      </c>
      <c r="D670" s="8" t="inlineStr">
        <is>
          <t>自然、大方、很帅气。</t>
        </is>
      </c>
      <c r="E670" s="8">
        <f>IFERROR(__xludf.DUMMYFUNCTION("GOOGLETRANSLATE(B670, ""zh"", ""vi"")"),"hào hoa")</f>
        <v/>
      </c>
      <c r="F670" s="8" t="inlineStr">
        <is>
          <t>他穿上西装显得很潇洒。</t>
        </is>
      </c>
      <c r="H670" s="9">
        <f>G670=B670</f>
        <v/>
      </c>
    </row>
    <row r="671">
      <c r="A671" s="8" t="inlineStr">
        <is>
          <t>bài 14</t>
        </is>
      </c>
      <c r="B671" s="11" t="inlineStr">
        <is>
          <t>本能</t>
        </is>
      </c>
      <c r="C671" s="8">
        <f>pinyin(B671)</f>
        <v/>
      </c>
      <c r="D671" s="8" t="inlineStr">
        <is>
          <t>天生就会的能力。</t>
        </is>
      </c>
      <c r="E671" s="8">
        <f>IFERROR(__xludf.DUMMYFUNCTION("GOOGLETRANSLATE(B671, ""zh"", ""vi"")"),"bản năng")</f>
        <v/>
      </c>
      <c r="F671" s="8" t="inlineStr">
        <is>
          <t>游泳是小鸭子的本能。</t>
        </is>
      </c>
      <c r="H671" s="9">
        <f>G671=B671</f>
        <v/>
      </c>
    </row>
    <row r="672">
      <c r="A672" s="8" t="inlineStr">
        <is>
          <t>bài 14</t>
        </is>
      </c>
      <c r="B672" s="11" t="inlineStr">
        <is>
          <t>冲动</t>
        </is>
      </c>
      <c r="C672" s="8">
        <f>pinyin(B672)</f>
        <v/>
      </c>
      <c r="D672" s="8" t="inlineStr">
        <is>
          <t>突然想做某事，控制不住。</t>
        </is>
      </c>
      <c r="E672" s="8" t="inlineStr">
        <is>
          <t>bốc đồng</t>
        </is>
      </c>
      <c r="F672" s="8" t="inlineStr">
        <is>
          <t>年轻人做事容易冲动。</t>
        </is>
      </c>
      <c r="H672" s="9">
        <f>G672=B672</f>
        <v/>
      </c>
    </row>
    <row r="673">
      <c r="A673" s="8" t="inlineStr">
        <is>
          <t>bài 14</t>
        </is>
      </c>
      <c r="B673" s="11" t="inlineStr">
        <is>
          <t>相差</t>
        </is>
      </c>
      <c r="C673" s="8">
        <f>pinyin(B673)</f>
        <v/>
      </c>
      <c r="D673" s="8" t="inlineStr">
        <is>
          <t>两者之间有距离、不一样。</t>
        </is>
      </c>
      <c r="E673" s="8">
        <f>IFERROR(__xludf.DUMMYFUNCTION("GOOGLETRANSLATE(B673, ""zh"", ""vi"")"),"sự khác biệt")</f>
        <v/>
      </c>
      <c r="F673" s="8" t="inlineStr">
        <is>
          <t>他的实际成绩和预期目标相差很大。</t>
        </is>
      </c>
      <c r="H673" s="9">
        <f>G673=B673</f>
        <v/>
      </c>
    </row>
    <row r="674">
      <c r="A674" s="8" t="inlineStr">
        <is>
          <t>bài 14</t>
        </is>
      </c>
      <c r="B674" s="22" t="inlineStr">
        <is>
          <t>时常</t>
        </is>
      </c>
      <c r="C674" s="8">
        <f>pinyin(B674)</f>
        <v/>
      </c>
      <c r="D674" s="8" t="inlineStr">
        <is>
          <t>经常发生。</t>
        </is>
      </c>
      <c r="E674" s="8">
        <f>IFERROR(__xludf.DUMMYFUNCTION("GOOGLETRANSLATE(B674, ""zh"", ""vi"")"),"thường")</f>
        <v/>
      </c>
      <c r="F674" s="8" t="inlineStr">
        <is>
          <t>他时常给父母打电话问候。</t>
        </is>
      </c>
      <c r="H674" s="9">
        <f>G674=B674</f>
        <v/>
      </c>
    </row>
    <row r="675">
      <c r="A675" s="8" t="inlineStr">
        <is>
          <t>bài 14</t>
        </is>
      </c>
      <c r="B675" s="11" t="inlineStr">
        <is>
          <t>穿越</t>
        </is>
      </c>
      <c r="C675" s="8">
        <f>pinyin(B675)</f>
        <v/>
      </c>
      <c r="D675" s="8" t="inlineStr">
        <is>
          <t>从一边走到另一边。</t>
        </is>
      </c>
      <c r="E675" s="8">
        <f>IFERROR(__xludf.DUMMYFUNCTION("GOOGLETRANSLATE(B675, ""zh"", ""vi"")"),"Du hành thời gian")</f>
        <v/>
      </c>
      <c r="F675" s="8" t="inlineStr">
        <is>
          <t>这条铁路穿越了草原和沙漠。</t>
        </is>
      </c>
      <c r="H675" s="9">
        <f>G675=B675</f>
        <v/>
      </c>
    </row>
    <row r="676">
      <c r="A676" s="8" t="inlineStr">
        <is>
          <t>bài 14</t>
        </is>
      </c>
      <c r="B676" s="11" t="inlineStr">
        <is>
          <t>专题</t>
        </is>
      </c>
      <c r="C676" s="8">
        <f>pinyin(B676)</f>
        <v/>
      </c>
      <c r="D676" s="8" t="inlineStr">
        <is>
          <t>专门的主题或研究内容。</t>
        </is>
      </c>
      <c r="E676" s="8">
        <f>IFERROR(__xludf.DUMMYFUNCTION("GOOGLETRANSLATE(B676, ""zh"", ""vi"")"),"Chủ đề đặc biệt")</f>
        <v/>
      </c>
      <c r="F676" s="8" t="inlineStr">
        <is>
          <t>学校举办了一个关于北极的专题讲座。</t>
        </is>
      </c>
      <c r="H676" s="9">
        <f>G676=B676</f>
        <v/>
      </c>
    </row>
    <row r="677">
      <c r="A677" s="8" t="inlineStr">
        <is>
          <t>bài 14</t>
        </is>
      </c>
      <c r="B677" s="11" t="inlineStr">
        <is>
          <t>赤道</t>
        </is>
      </c>
      <c r="C677" s="8">
        <f>pinyin(B677)</f>
        <v/>
      </c>
      <c r="D677" s="8" t="inlineStr">
        <is>
          <t>地球上最中间的纬线。</t>
        </is>
      </c>
      <c r="E677" s="8">
        <f>IFERROR(__xludf.DUMMYFUNCTION("GOOGLETRANSLATE(B677, ""zh"", ""vi"")"),"xích đạo")</f>
        <v/>
      </c>
      <c r="F677" s="8" t="inlineStr">
        <is>
          <t>赤道附近全年气温都很高。</t>
        </is>
      </c>
      <c r="H677" s="9">
        <f>G677=B677</f>
        <v/>
      </c>
    </row>
    <row r="678">
      <c r="A678" s="8" t="inlineStr">
        <is>
          <t>bài 14</t>
        </is>
      </c>
      <c r="B678" s="11" t="inlineStr">
        <is>
          <t>执着</t>
        </is>
      </c>
      <c r="C678" s="8">
        <f>pinyin(B678)</f>
        <v/>
      </c>
      <c r="D678" s="8" t="inlineStr">
        <is>
          <t>坚持、不放弃。</t>
        </is>
      </c>
      <c r="E678" s="8">
        <f>IFERROR(__xludf.DUMMYFUNCTION("GOOGLETRANSLATE(B678, ""zh"", ""vi"")"),"Sự kiên trì")</f>
        <v/>
      </c>
      <c r="F678" s="8" t="inlineStr">
        <is>
          <t>他以执着的精神完成了这项艰难的任务。</t>
        </is>
      </c>
      <c r="H678" s="9">
        <f>G678=B678</f>
        <v/>
      </c>
    </row>
    <row r="679">
      <c r="A679" s="8" t="inlineStr">
        <is>
          <t>bài 14</t>
        </is>
      </c>
      <c r="B679" s="11" t="inlineStr">
        <is>
          <t>将就</t>
        </is>
      </c>
      <c r="C679" s="8">
        <f>pinyin(B679)</f>
        <v/>
      </c>
      <c r="D679" s="8" t="inlineStr">
        <is>
          <t>勉强凑合着用。</t>
        </is>
      </c>
      <c r="E679" s="8">
        <f>IFERROR(__xludf.DUMMYFUNCTION("GOOGLETRANSLATE(B679, ""zh"", ""vi"")"),"Hơn")</f>
        <v/>
      </c>
      <c r="F679" s="8" t="inlineStr">
        <is>
          <t>条件有限，我们就先将就一下吧。</t>
        </is>
      </c>
      <c r="H679" s="9">
        <f>G679=B679</f>
        <v/>
      </c>
    </row>
    <row r="680">
      <c r="A680" s="8" t="inlineStr">
        <is>
          <t>bài 14</t>
        </is>
      </c>
      <c r="B680" s="11" t="inlineStr">
        <is>
          <t>古董</t>
        </is>
      </c>
      <c r="C680" s="8">
        <f>pinyin(B680)</f>
        <v/>
      </c>
      <c r="D680" s="8" t="inlineStr">
        <is>
          <t>年代很久远的物品。</t>
        </is>
      </c>
      <c r="E680" s="8">
        <f>IFERROR(__xludf.DUMMYFUNCTION("GOOGLETRANSLATE(B680, ""zh"", ""vi"")"),"đồ cổ")</f>
        <v/>
      </c>
      <c r="F680" s="8" t="inlineStr">
        <is>
          <t>这个瓷器是一件珍贵的古董。</t>
        </is>
      </c>
      <c r="H680" s="9">
        <f>G680=B680</f>
        <v/>
      </c>
    </row>
    <row r="681">
      <c r="A681" s="8" t="inlineStr">
        <is>
          <t>bài 14</t>
        </is>
      </c>
      <c r="B681" s="11" t="inlineStr">
        <is>
          <t>腹泻</t>
        </is>
      </c>
      <c r="C681" s="8">
        <f>pinyin(B681)</f>
        <v/>
      </c>
      <c r="D681" s="8" t="inlineStr">
        <is>
          <t>拉肚子。</t>
        </is>
      </c>
      <c r="E681" s="8">
        <f>IFERROR(__xludf.DUMMYFUNCTION("GOOGLETRANSLATE(B681, ""zh"", ""vi"")"),"tiêu chảy")</f>
        <v/>
      </c>
      <c r="F681" s="8" t="inlineStr">
        <is>
          <t>他吃了不卫生的食物，腹泻了。</t>
        </is>
      </c>
      <c r="H681" s="9">
        <f>G681=B681</f>
        <v/>
      </c>
    </row>
    <row r="682">
      <c r="A682" s="8" t="inlineStr">
        <is>
          <t>bài 14</t>
        </is>
      </c>
      <c r="B682" s="11" t="inlineStr">
        <is>
          <t>察</t>
        </is>
      </c>
      <c r="C682" s="8">
        <f>pinyin(B682)</f>
        <v/>
      </c>
      <c r="D682" s="8" t="inlineStr">
        <is>
          <t>仔细看、调查。</t>
        </is>
      </c>
      <c r="E682" s="8">
        <f>IFERROR(__xludf.DUMMYFUNCTION("GOOGLETRANSLATE(B682, ""zh"", ""vi"")"),"Quan sát")</f>
        <v/>
      </c>
      <c r="F682" s="8" t="inlineStr">
        <is>
          <t>他很会察言观色，能看出别人的心思。</t>
        </is>
      </c>
      <c r="H682" s="9">
        <f>G682=B682</f>
        <v/>
      </c>
    </row>
    <row r="683">
      <c r="A683" s="8" t="inlineStr">
        <is>
          <t>bài 14</t>
        </is>
      </c>
      <c r="B683" s="11" t="inlineStr">
        <is>
          <t>毅</t>
        </is>
      </c>
      <c r="C683" s="8">
        <f>pinyin(B683)</f>
        <v/>
      </c>
      <c r="D683" s="8" t="inlineStr">
        <is>
          <t>坚强、有毅力。</t>
        </is>
      </c>
      <c r="E683" s="8">
        <f>IFERROR(__xludf.DUMMYFUNCTION("GOOGLETRANSLATE(B683, ""zh"", ""vi"")"),"Yi")</f>
        <v/>
      </c>
      <c r="F683" s="8" t="inlineStr">
        <is>
          <t>学习外语需要有毅力才能坚持下去。</t>
        </is>
      </c>
      <c r="H683" s="9">
        <f>G683=B683</f>
        <v/>
      </c>
    </row>
    <row r="684">
      <c r="A684" s="8" t="inlineStr">
        <is>
          <t>bài 14</t>
        </is>
      </c>
      <c r="B684" s="11" t="inlineStr">
        <is>
          <t>拓</t>
        </is>
      </c>
      <c r="C684" s="8">
        <f>pinyin(B684)</f>
        <v/>
      </c>
      <c r="D684" s="8" t="inlineStr">
        <is>
          <t>开辟、扩展。</t>
        </is>
      </c>
      <c r="E684" s="8">
        <f>IFERROR(__xludf.DUMMYFUNCTION("GOOGLETRANSLATE(B684, ""zh"", ""vi"")"),"Tuo")</f>
        <v/>
      </c>
      <c r="F684" s="8" t="inlineStr">
        <is>
          <t>他们正在开拓新的业务领域。</t>
        </is>
      </c>
      <c r="H684" s="9">
        <f>G684=B684</f>
        <v/>
      </c>
    </row>
    <row r="685">
      <c r="A685" s="8" t="inlineStr">
        <is>
          <t>bài 14</t>
        </is>
      </c>
      <c r="B685" s="11" t="inlineStr">
        <is>
          <t>饥</t>
        </is>
      </c>
      <c r="C685" s="8">
        <f>pinyin(B685)</f>
        <v/>
      </c>
      <c r="D685" s="8" t="inlineStr">
        <is>
          <t>饿、缺少食物。</t>
        </is>
      </c>
      <c r="E685" s="8">
        <f>IFERROR(__xludf.DUMMYFUNCTION("GOOGLETRANSLATE(B685, ""zh"", ""vi"")"),"đói bụng")</f>
        <v/>
      </c>
      <c r="F685" s="8" t="inlineStr">
        <is>
          <t>饥饿是很多贫困地区面临的问题。</t>
        </is>
      </c>
      <c r="H685" s="9">
        <f>G685=B685</f>
        <v/>
      </c>
    </row>
    <row r="686">
      <c r="A686" s="8" t="inlineStr">
        <is>
          <t>bài 14</t>
        </is>
      </c>
      <c r="B686" s="11" t="inlineStr">
        <is>
          <t>记</t>
        </is>
      </c>
      <c r="C686" s="8">
        <f>pinyin(B686)</f>
        <v/>
      </c>
      <c r="D686" s="8" t="inlineStr">
        <is>
          <t>写下来、记住。</t>
        </is>
      </c>
      <c r="E686" s="8">
        <f>IFERROR(__xludf.DUMMYFUNCTION("GOOGLETRANSLATE(B686, ""zh"", ""vi"")"),"nhớ")</f>
        <v/>
      </c>
      <c r="F686" s="8" t="inlineStr">
        <is>
          <t>请把重要信息记录下来。</t>
        </is>
      </c>
      <c r="H686" s="9">
        <f>G686=B686</f>
        <v/>
      </c>
    </row>
    <row r="687">
      <c r="A687" s="8" t="inlineStr">
        <is>
          <t>bài 14</t>
        </is>
      </c>
      <c r="B687" s="11" t="inlineStr">
        <is>
          <t>严</t>
        </is>
      </c>
      <c r="C687" s="8">
        <f>pinyin(B687)</f>
        <v/>
      </c>
      <c r="D687" s="8" t="inlineStr">
        <is>
          <t>严格、很厉害。</t>
        </is>
      </c>
      <c r="E687" s="8">
        <f>IFERROR(__xludf.DUMMYFUNCTION("GOOGLETRANSLATE(B687, ""zh"", ""vi"")"),"nghiêm ngặt")</f>
        <v/>
      </c>
      <c r="F687" s="8" t="inlineStr">
        <is>
          <t>这里的冬天严寒难耐。</t>
        </is>
      </c>
      <c r="H687" s="9">
        <f>G687=B687</f>
        <v/>
      </c>
    </row>
    <row r="688">
      <c r="A688" s="8" t="inlineStr">
        <is>
          <t>bài 14</t>
        </is>
      </c>
      <c r="B688" s="11" t="inlineStr">
        <is>
          <t>竟</t>
        </is>
      </c>
      <c r="C688" s="8">
        <f>pinyin(B688)</f>
        <v/>
      </c>
      <c r="D688" s="8" t="inlineStr">
        <is>
          <t>出乎意料。</t>
        </is>
      </c>
      <c r="E688" s="8">
        <f>IFERROR(__xludf.DUMMYFUNCTION("GOOGLETRANSLATE(B688, ""zh"", ""vi"")"),"Thực ra")</f>
        <v/>
      </c>
      <c r="F688" s="8" t="inlineStr">
        <is>
          <t>他竟然考了第一名，真让人意外。</t>
        </is>
      </c>
      <c r="H688" s="9">
        <f>G688=B688</f>
        <v/>
      </c>
    </row>
    <row r="689">
      <c r="A689" s="8" t="inlineStr">
        <is>
          <t>bài 14</t>
        </is>
      </c>
      <c r="B689" s="11" t="inlineStr">
        <is>
          <t>冲</t>
        </is>
      </c>
      <c r="C689" s="8">
        <f>pinyin(B689)</f>
        <v/>
      </c>
      <c r="D689" s="8" t="inlineStr">
        <is>
          <t>猛烈向前、冲击。</t>
        </is>
      </c>
      <c r="E689" s="8">
        <f>IFERROR(__xludf.DUMMYFUNCTION("GOOGLETRANSLATE(B689, ""zh"", ""vi"")"),"cây bấc")</f>
        <v/>
      </c>
      <c r="F689" s="8" t="inlineStr">
        <is>
          <t>海浪不停地冲击着海岸。</t>
        </is>
      </c>
      <c r="H689" s="9">
        <f>G689=B689</f>
        <v/>
      </c>
    </row>
    <row r="690">
      <c r="A690" s="8" t="inlineStr">
        <is>
          <t>bài 15</t>
        </is>
      </c>
      <c r="B690" s="11" t="inlineStr">
        <is>
          <t>雕刻</t>
        </is>
      </c>
      <c r="C690" s="8">
        <f>pinyin(B690)</f>
        <v/>
      </c>
      <c r="D690" s="8" t="inlineStr">
        <is>
          <t>在木头、石头等材料上刻出图案或形状</t>
        </is>
      </c>
      <c r="E690" s="8">
        <f>IFERROR(__xludf.DUMMYFUNCTION("GOOGLETRANSLATE(B690, ""zh"", ""vi"")"),"khắc")</f>
        <v/>
      </c>
      <c r="F690" s="8" t="inlineStr">
        <is>
          <t>他擅长雕刻木头。</t>
        </is>
      </c>
      <c r="H690" s="9">
        <f>G690=B690</f>
        <v/>
      </c>
    </row>
    <row r="691">
      <c r="A691" s="8" t="inlineStr">
        <is>
          <t>bài 15</t>
        </is>
      </c>
      <c r="B691" s="11" t="inlineStr">
        <is>
          <t>干旱</t>
        </is>
      </c>
      <c r="C691" s="8">
        <f>pinyin(B691)</f>
        <v/>
      </c>
      <c r="D691" s="8" t="inlineStr">
        <is>
          <t>长时间不下雨，缺少水分</t>
        </is>
      </c>
      <c r="E691" s="8">
        <f>IFERROR(__xludf.DUMMYFUNCTION("GOOGLETRANSLATE(B691, ""zh"", ""vi"")"),"hạn hán")</f>
        <v/>
      </c>
      <c r="F691" s="8" t="inlineStr">
        <is>
          <t>这几年北方连续干旱，给农业生产造成很大损失。</t>
        </is>
      </c>
      <c r="H691" s="9">
        <f>G691=B691</f>
        <v/>
      </c>
    </row>
    <row r="692">
      <c r="A692" s="8" t="inlineStr">
        <is>
          <t>bài 15</t>
        </is>
      </c>
      <c r="B692" s="11" t="inlineStr">
        <is>
          <t>耕地</t>
        </is>
      </c>
      <c r="C692" s="8">
        <f>pinyin(B692)</f>
        <v/>
      </c>
      <c r="D692" s="8" t="inlineStr">
        <is>
          <t>种庄稼的土地</t>
        </is>
      </c>
      <c r="E692" s="8">
        <f>IFERROR(__xludf.DUMMYFUNCTION("GOOGLETRANSLATE(B692, ""zh"", ""vi"")"),"đất canh tác")</f>
        <v/>
      </c>
      <c r="F692" s="8" t="inlineStr">
        <is>
          <t>这几年，耕地面积不但没有扩大，反而减少了。</t>
        </is>
      </c>
      <c r="H692" s="9">
        <f>G692=B692</f>
        <v/>
      </c>
    </row>
    <row r="693">
      <c r="A693" s="8" t="inlineStr">
        <is>
          <t>bài 15</t>
        </is>
      </c>
      <c r="B693" s="11" t="inlineStr">
        <is>
          <t>庄稼</t>
        </is>
      </c>
      <c r="C693" s="8">
        <f>pinyin(B693)</f>
        <v/>
      </c>
      <c r="D693" s="8" t="inlineStr">
        <is>
          <t>农民种植的农作物</t>
        </is>
      </c>
      <c r="E693" s="8">
        <f>IFERROR(__xludf.DUMMYFUNCTION("GOOGLETRANSLATE(B693, ""zh"", ""vi"")"),"cây trồng")</f>
        <v/>
      </c>
      <c r="F693" s="8" t="inlineStr">
        <is>
          <t>今年春天雨水充足，庄稼长得很旺盛。</t>
        </is>
      </c>
      <c r="H693" s="9">
        <f>G693=B693</f>
        <v/>
      </c>
    </row>
    <row r="694">
      <c r="A694" s="8" t="inlineStr">
        <is>
          <t>bài 15</t>
        </is>
      </c>
      <c r="B694" s="11" t="inlineStr">
        <is>
          <t>盘旋</t>
        </is>
      </c>
      <c r="C694" s="8">
        <f>pinyin(B694)</f>
        <v/>
      </c>
      <c r="D694" s="8" t="inlineStr">
        <is>
          <t>绕着飞或绕着走</t>
        </is>
      </c>
      <c r="E694" s="8">
        <f>IFERROR(__xludf.DUMMYFUNCTION("GOOGLETRANSLATE(B694, ""zh"", ""vi"")"),"lơ lửng")</f>
        <v/>
      </c>
      <c r="F694" s="8" t="inlineStr">
        <is>
          <t>一只雄鹰在草原上空盘旋。</t>
        </is>
      </c>
      <c r="H694" s="9">
        <f>G694=B694</f>
        <v/>
      </c>
    </row>
    <row r="695">
      <c r="A695" s="8" t="inlineStr">
        <is>
          <t>bài 15</t>
        </is>
      </c>
      <c r="B695" s="11" t="inlineStr">
        <is>
          <t>时而</t>
        </is>
      </c>
      <c r="C695" s="8">
        <f>pinyin(B695)</f>
        <v/>
      </c>
      <c r="D695" s="8" t="inlineStr">
        <is>
          <t>一会儿……一会儿……</t>
        </is>
      </c>
      <c r="E695" s="8">
        <f>IFERROR(__xludf.DUMMYFUNCTION("GOOGLETRANSLATE(B695, ""zh"", ""vi"")"),"Thỉnh thoảng")</f>
        <v/>
      </c>
      <c r="F695" s="8" t="inlineStr">
        <is>
          <t>小燕子时而掠过水面，时而飞上天空。</t>
        </is>
      </c>
      <c r="H695" s="9">
        <f>G695=B695</f>
        <v/>
      </c>
    </row>
    <row r="696">
      <c r="A696" s="8" t="inlineStr">
        <is>
          <t>bài 15</t>
        </is>
      </c>
      <c r="B696" s="11" t="inlineStr">
        <is>
          <t>海拔</t>
        </is>
      </c>
      <c r="C696" s="8">
        <f>pinyin(B696)</f>
        <v/>
      </c>
      <c r="D696" s="8" t="inlineStr">
        <is>
          <t>高出海平面的高度</t>
        </is>
      </c>
      <c r="E696" s="8">
        <f>IFERROR(__xludf.DUMMYFUNCTION("GOOGLETRANSLATE(B696, ""zh"", ""vi"")"),"độ cao")</f>
        <v/>
      </c>
      <c r="F696" s="8" t="inlineStr">
        <is>
          <t>青藏高原是地球上海拔最高的高原。</t>
        </is>
      </c>
      <c r="H696" s="9">
        <f>G696=B696</f>
        <v/>
      </c>
    </row>
    <row r="697">
      <c r="A697" s="8" t="inlineStr">
        <is>
          <t>bài 15</t>
        </is>
      </c>
      <c r="B697" s="11" t="inlineStr">
        <is>
          <t>枯萎</t>
        </is>
      </c>
      <c r="C697" s="8">
        <f>pinyin(B697)</f>
        <v/>
      </c>
      <c r="D697" s="8" t="inlineStr">
        <is>
          <t>植物因缺水而干死</t>
        </is>
      </c>
      <c r="E697" s="8">
        <f>IFERROR(__xludf.DUMMYFUNCTION("GOOGLETRANSLATE(B697, ""zh"", ""vi"")"),"héo úa")</f>
        <v/>
      </c>
      <c r="F697" s="8" t="inlineStr">
        <is>
          <t>荒地上是一片枯萎的野草。</t>
        </is>
      </c>
      <c r="H697" s="9">
        <f>G697=B697</f>
        <v/>
      </c>
    </row>
    <row r="698">
      <c r="A698" s="8" t="inlineStr">
        <is>
          <t>bài 15</t>
        </is>
      </c>
      <c r="B698" s="11" t="inlineStr">
        <is>
          <t>牲畜</t>
        </is>
      </c>
      <c r="C698" s="8">
        <f>pinyin(B698)</f>
        <v/>
      </c>
      <c r="D698" s="8" t="inlineStr">
        <is>
          <t>牛、马、羊等家养动物</t>
        </is>
      </c>
      <c r="E698" s="8">
        <f>IFERROR(__xludf.DUMMYFUNCTION("GOOGLETRANSLATE(B698, ""zh"", ""vi"")"),"gia súc")</f>
        <v/>
      </c>
      <c r="F698" s="8" t="inlineStr">
        <is>
          <t>在雪灾天气里，有的牲畜竟然出现了冻死现象。</t>
        </is>
      </c>
      <c r="H698" s="9">
        <f>G698=B698</f>
        <v/>
      </c>
    </row>
    <row r="699">
      <c r="A699" s="8" t="inlineStr">
        <is>
          <t>bài 15</t>
        </is>
      </c>
      <c r="B699" s="11" t="inlineStr">
        <is>
          <t>壮丽</t>
        </is>
      </c>
      <c r="C699" s="8">
        <f>pinyin(B699)</f>
        <v/>
      </c>
      <c r="D699" s="8" t="inlineStr">
        <is>
          <t>雄伟而美丽</t>
        </is>
      </c>
      <c r="E699" s="8">
        <f>IFERROR(__xludf.DUMMYFUNCTION("GOOGLETRANSLATE(B699, ""zh"", ""vi"")"),"tuyệt vời")</f>
        <v/>
      </c>
      <c r="F699" s="8" t="inlineStr">
        <is>
          <t>我终于登上了雄伟壮丽的长城。</t>
        </is>
      </c>
      <c r="H699" s="9">
        <f>G699=B699</f>
        <v/>
      </c>
    </row>
    <row r="700">
      <c r="A700" s="8" t="inlineStr">
        <is>
          <t>bài 15</t>
        </is>
      </c>
      <c r="B700" s="11" t="inlineStr">
        <is>
          <t>依旧</t>
        </is>
      </c>
      <c r="C700" s="8">
        <f>pinyin(B700)</f>
        <v/>
      </c>
      <c r="D700" s="8" t="inlineStr">
        <is>
          <t>还是原来的样子</t>
        </is>
      </c>
      <c r="E700" s="8">
        <f>IFERROR(__xludf.DUMMYFUNCTION("GOOGLETRANSLATE(B700, ""zh"", ""vi"")"),"vẫn")</f>
        <v/>
      </c>
      <c r="F700" s="8" t="inlineStr">
        <is>
          <t>他们每天过着粗茶淡饭的日子，可依旧很开心。</t>
        </is>
      </c>
      <c r="H700" s="9">
        <f>G700=B700</f>
        <v/>
      </c>
    </row>
    <row r="701">
      <c r="A701" s="8" t="inlineStr">
        <is>
          <t>bài 15</t>
        </is>
      </c>
      <c r="B701" s="11" t="inlineStr">
        <is>
          <t>铺</t>
        </is>
      </c>
      <c r="C701" s="8">
        <f>pinyin(B701)</f>
        <v/>
      </c>
      <c r="D701" s="8" t="inlineStr">
        <is>
          <t>把东西展开、放平</t>
        </is>
      </c>
      <c r="E701" s="8">
        <f>IFERROR(__xludf.DUMMYFUNCTION("GOOGLETRANSLATE(B701, ""zh"", ""vi"")"),"cửa hàng")</f>
        <v/>
      </c>
      <c r="F701" s="8" t="inlineStr">
        <is>
          <t>小时候，每天晚上都是母亲为我铺床。</t>
        </is>
      </c>
      <c r="H701" s="9">
        <f>G701=B701</f>
        <v/>
      </c>
    </row>
    <row r="702">
      <c r="A702" s="8" t="inlineStr">
        <is>
          <t>bài 15</t>
        </is>
      </c>
      <c r="B702" s="11" t="inlineStr">
        <is>
          <t>卷</t>
        </is>
      </c>
      <c r="C702" s="8">
        <f>pinyin(B702)</f>
        <v/>
      </c>
      <c r="D702" s="8" t="inlineStr">
        <is>
          <t>把东西弯起来或包起来</t>
        </is>
      </c>
      <c r="E702" s="8">
        <f>IFERROR(__xludf.DUMMYFUNCTION("GOOGLETRANSLATE(B702, ""zh"", ""vi"")"),"cuộn")</f>
        <v/>
      </c>
      <c r="F702" s="8" t="inlineStr">
        <is>
          <t>不知不觉中，我们竟然卷入了他们的斗争中。</t>
        </is>
      </c>
      <c r="H702" s="9">
        <f>G702=B702</f>
        <v/>
      </c>
    </row>
    <row r="703">
      <c r="A703" s="8" t="inlineStr">
        <is>
          <t>bài 15</t>
        </is>
      </c>
      <c r="B703" s="11" t="inlineStr">
        <is>
          <t>蔚蓝</t>
        </is>
      </c>
      <c r="C703" s="8">
        <f>pinyin(B703)</f>
        <v/>
      </c>
      <c r="D703" s="8" t="inlineStr">
        <is>
          <t>深蓝色</t>
        </is>
      </c>
      <c r="E703" s="8">
        <f>IFERROR(__xludf.DUMMYFUNCTION("GOOGLETRANSLATE(B703, ""zh"", ""vi"")"),"Azure")</f>
        <v/>
      </c>
      <c r="F703" s="8" t="inlineStr">
        <is>
          <t>夏天，蔚蓝色的天空中飘着朵朵白云。</t>
        </is>
      </c>
      <c r="H703" s="9">
        <f>G703=B703</f>
        <v/>
      </c>
    </row>
    <row r="704">
      <c r="A704" s="8" t="inlineStr">
        <is>
          <t>bài 15</t>
        </is>
      </c>
      <c r="B704" s="11" t="inlineStr">
        <is>
          <t>漂浮</t>
        </is>
      </c>
      <c r="C704" s="8">
        <f>pinyin(B704)</f>
        <v/>
      </c>
      <c r="D704" s="8" t="inlineStr">
        <is>
          <t>在空中或水面上移动</t>
        </is>
      </c>
      <c r="E704" s="8">
        <f>IFERROR(__xludf.DUMMYFUNCTION("GOOGLETRANSLATE(B704, ""zh"", ""vi"")"),"trôi nổi")</f>
        <v/>
      </c>
      <c r="F704" s="8" t="inlineStr">
        <is>
          <t>你时而离我很近，时而离我很远，就像云一样漂浮不定。</t>
        </is>
      </c>
      <c r="H704" s="9">
        <f>G704=B704</f>
        <v/>
      </c>
    </row>
    <row r="705">
      <c r="A705" s="8" t="inlineStr">
        <is>
          <t>bài 15</t>
        </is>
      </c>
      <c r="B705" s="11" t="inlineStr">
        <is>
          <t>摇摆</t>
        </is>
      </c>
      <c r="C705" s="8">
        <f>pinyin(B705)</f>
        <v/>
      </c>
      <c r="D705" s="8" t="inlineStr">
        <is>
          <t>来回摆动</t>
        </is>
      </c>
      <c r="E705" s="8">
        <f>IFERROR(__xludf.DUMMYFUNCTION("GOOGLETRANSLATE(B705, ""zh"", ""vi"")"),"xích đu")</f>
        <v/>
      </c>
      <c r="F705" s="8" t="inlineStr">
        <is>
          <t>花儿在风中摇摆，倾听着风的旋律。</t>
        </is>
      </c>
      <c r="H705" s="9">
        <f>G705=B705</f>
        <v/>
      </c>
    </row>
    <row r="706">
      <c r="A706" s="8" t="inlineStr">
        <is>
          <t>bài 15</t>
        </is>
      </c>
      <c r="B706" s="11" t="inlineStr">
        <is>
          <t>毅力</t>
        </is>
      </c>
      <c r="C706" s="8">
        <f>pinyin(B706)</f>
        <v/>
      </c>
      <c r="D706" s="8" t="inlineStr">
        <is>
          <t>坚持到底的精神</t>
        </is>
      </c>
      <c r="E706" s="8">
        <f>IFERROR(__xludf.DUMMYFUNCTION("GOOGLETRANSLATE(B706, ""zh"", ""vi"")"),"sẽ")</f>
        <v/>
      </c>
      <c r="F706" s="8" t="inlineStr">
        <is>
          <t>只要有毅力，就没有克服不了的困难。</t>
        </is>
      </c>
      <c r="H706" s="9">
        <f>G706=B706</f>
        <v/>
      </c>
    </row>
    <row r="707">
      <c r="A707" s="8" t="inlineStr">
        <is>
          <t>bài 15</t>
        </is>
      </c>
      <c r="B707" s="11" t="inlineStr">
        <is>
          <t>杰出</t>
        </is>
      </c>
      <c r="C707" s="8">
        <f>pinyin(B707)</f>
        <v/>
      </c>
      <c r="D707" s="8" t="inlineStr">
        <is>
          <t>特别优秀</t>
        </is>
      </c>
      <c r="E707" s="8">
        <f>IFERROR(__xludf.DUMMYFUNCTION("GOOGLETRANSLATE(B707, ""zh"", ""vi"")"),"Nổi bật")</f>
        <v/>
      </c>
      <c r="F707" s="8" t="inlineStr">
        <is>
          <t>陈景润在数学研究上取得了杰出的成就。</t>
        </is>
      </c>
      <c r="H707" s="9">
        <f>G707=B707</f>
        <v/>
      </c>
    </row>
    <row r="708">
      <c r="A708" s="8" t="inlineStr">
        <is>
          <t>bài 15</t>
        </is>
      </c>
      <c r="B708" s="11" t="inlineStr">
        <is>
          <t>震撼</t>
        </is>
      </c>
      <c r="C708" s="8">
        <f>pinyin(B708)</f>
        <v/>
      </c>
      <c r="D708" s="8" t="inlineStr">
        <is>
          <t>受到很大的震动</t>
        </is>
      </c>
      <c r="E708" s="8">
        <f>IFERROR(__xludf.DUMMYFUNCTION("GOOGLETRANSLATE(B708, ""zh"", ""vi"")"),"Sốc")</f>
        <v/>
      </c>
      <c r="F708" s="8" t="inlineStr">
        <is>
          <t>这部电影具有震撼人心的艺术力量。</t>
        </is>
      </c>
      <c r="H708" s="9">
        <f>G708=B708</f>
        <v/>
      </c>
    </row>
    <row r="709">
      <c r="A709" s="8" t="inlineStr">
        <is>
          <t>bài 15</t>
        </is>
      </c>
      <c r="B709" s="11" t="inlineStr">
        <is>
          <t>宫殿</t>
        </is>
      </c>
      <c r="C709" s="8">
        <f>pinyin(B709)</f>
        <v/>
      </c>
      <c r="D709" s="8" t="inlineStr">
        <is>
          <t>皇帝居住的建筑</t>
        </is>
      </c>
      <c r="E709" s="8">
        <f>IFERROR(__xludf.DUMMYFUNCTION("GOOGLETRANSLATE(B709, ""zh"", ""vi"")"),"cung điện")</f>
        <v/>
      </c>
      <c r="F709" s="8" t="inlineStr">
        <is>
          <t>北京故宫是一个富丽堂皇的大宫殿。</t>
        </is>
      </c>
      <c r="H709" s="9">
        <f>G709=B709</f>
        <v/>
      </c>
    </row>
    <row r="710">
      <c r="A710" s="8" t="inlineStr">
        <is>
          <t>bài 15</t>
        </is>
      </c>
      <c r="B710" s="11" t="inlineStr">
        <is>
          <t>不禁</t>
        </is>
      </c>
      <c r="C710" s="8">
        <f>pinyin(B710)</f>
        <v/>
      </c>
      <c r="D710" s="8" t="inlineStr">
        <is>
          <t>忍不住</t>
        </is>
      </c>
      <c r="E710" s="8">
        <f>IFERROR(__xludf.DUMMYFUNCTION("GOOGLETRANSLATE(B710, ""zh"", ""vi"")"),"Không thể")</f>
        <v/>
      </c>
      <c r="F710" s="8" t="inlineStr">
        <is>
          <t>看着这些幸福的孩子，我不禁想起了自己的童年。</t>
        </is>
      </c>
      <c r="H710" s="9">
        <f>G710=B710</f>
        <v/>
      </c>
    </row>
    <row r="711">
      <c r="A711" s="8" t="inlineStr">
        <is>
          <t>bài 15</t>
        </is>
      </c>
      <c r="B711" s="11" t="inlineStr">
        <is>
          <t>生态</t>
        </is>
      </c>
      <c r="C711" s="8">
        <f>pinyin(B711)</f>
        <v/>
      </c>
      <c r="D711" s="8" t="inlineStr">
        <is>
          <t>生物和环境之间的关系</t>
        </is>
      </c>
      <c r="E711" s="8">
        <f>IFERROR(__xludf.DUMMYFUNCTION("GOOGLETRANSLATE(B711, ""zh"", ""vi"")"),"Sinh thái học")</f>
        <v/>
      </c>
      <c r="F711" s="8" t="inlineStr">
        <is>
          <t>我们要爱护自然环境，保持生态平衡。</t>
        </is>
      </c>
      <c r="H711" s="9">
        <f>G711=B711</f>
        <v/>
      </c>
    </row>
    <row r="712">
      <c r="A712" s="8" t="inlineStr">
        <is>
          <t>bài 15</t>
        </is>
      </c>
      <c r="B712" s="11" t="inlineStr">
        <is>
          <t>审美</t>
        </is>
      </c>
      <c r="C712" s="8">
        <f>pinyin(B712)</f>
        <v/>
      </c>
      <c r="D712" s="8" t="inlineStr">
        <is>
          <t>欣赏美和判断美</t>
        </is>
      </c>
      <c r="E712" s="8">
        <f>IFERROR(__xludf.DUMMYFUNCTION("GOOGLETRANSLATE(B712, ""zh"", ""vi"")"),"Thẩm mỹ")</f>
        <v/>
      </c>
      <c r="F712" s="8" t="inlineStr">
        <is>
          <t>他的审美很好，穿衣风格很时尚。</t>
        </is>
      </c>
      <c r="H712" s="9">
        <f>G712=B712</f>
        <v/>
      </c>
    </row>
    <row r="713">
      <c r="A713" s="8" t="inlineStr">
        <is>
          <t>bài 15</t>
        </is>
      </c>
      <c r="B713" s="11" t="inlineStr">
        <is>
          <t>罕见</t>
        </is>
      </c>
      <c r="C713" s="8">
        <f>pinyin(B713)</f>
        <v/>
      </c>
      <c r="D713" s="8" t="inlineStr">
        <is>
          <t>很少见到</t>
        </is>
      </c>
      <c r="E713" s="8">
        <f>IFERROR(__xludf.DUMMYFUNCTION("GOOGLETRANSLATE(B713, ""zh"", ""vi"")"),"hiếm")</f>
        <v/>
      </c>
      <c r="F713" s="8" t="inlineStr">
        <is>
          <t>今年气候异常，非洲发生了罕见的洪灾。</t>
        </is>
      </c>
      <c r="H713" s="9">
        <f>G713=B713</f>
        <v/>
      </c>
    </row>
    <row r="714">
      <c r="A714" s="8" t="inlineStr">
        <is>
          <t>bài 15</t>
        </is>
      </c>
      <c r="B714" s="11" t="inlineStr">
        <is>
          <t>珍稀</t>
        </is>
      </c>
      <c r="C714" s="8">
        <f>pinyin(B714)</f>
        <v/>
      </c>
      <c r="D714" s="8" t="inlineStr">
        <is>
          <t>珍贵而稀少</t>
        </is>
      </c>
      <c r="E714" s="8">
        <f>IFERROR(__xludf.DUMMYFUNCTION("GOOGLETRANSLATE(B714, ""zh"", ""vi"")"),"Hiếm")</f>
        <v/>
      </c>
      <c r="F714" s="8" t="inlineStr">
        <is>
          <t>国家设置了许多自然保护区，保护珍稀野生动植物。</t>
        </is>
      </c>
      <c r="H714" s="9">
        <f>G714=B714</f>
        <v/>
      </c>
    </row>
    <row r="715">
      <c r="A715" s="8" t="inlineStr">
        <is>
          <t>bài 15</t>
        </is>
      </c>
      <c r="B715" s="11" t="inlineStr">
        <is>
          <t>陶醉</t>
        </is>
      </c>
      <c r="C715" s="8">
        <f>pinyin(B715)</f>
        <v/>
      </c>
      <c r="D715" s="8" t="inlineStr">
        <is>
          <t>沉浸在美好的感觉中</t>
        </is>
      </c>
      <c r="E715" s="8">
        <f>IFERROR(__xludf.DUMMYFUNCTION("GOOGLETRANSLATE(B715, ""zh"", ""vi"")"),"vui chơi")</f>
        <v/>
      </c>
      <c r="F715" s="8" t="inlineStr">
        <is>
          <t>春天的西湖风景如画，令人陶醉。</t>
        </is>
      </c>
      <c r="H715" s="9">
        <f>G715=B715</f>
        <v/>
      </c>
    </row>
    <row r="716">
      <c r="A716" s="8" t="inlineStr">
        <is>
          <t>bài 15</t>
        </is>
      </c>
      <c r="B716" s="11" t="inlineStr">
        <is>
          <t>遗产</t>
        </is>
      </c>
      <c r="C716" s="8">
        <f>pinyin(B716)</f>
        <v/>
      </c>
      <c r="D716" s="8" t="inlineStr">
        <is>
          <t>祖先留下来的财富或文化</t>
        </is>
      </c>
      <c r="E716" s="8">
        <f>IFERROR(__xludf.DUMMYFUNCTION("GOOGLETRANSLATE(B716, ""zh"", ""vi"")"),"di sản")</f>
        <v/>
      </c>
      <c r="F716" s="8" t="inlineStr">
        <is>
          <t>几千年来，祖先为我们遗留下许多宝贵的文化遗产。</t>
        </is>
      </c>
      <c r="H716" s="9">
        <f>G716=B716</f>
        <v/>
      </c>
    </row>
    <row r="717">
      <c r="A717" s="8" t="inlineStr">
        <is>
          <t>bài 15</t>
        </is>
      </c>
      <c r="B717" s="11" t="inlineStr">
        <is>
          <t>拥有</t>
        </is>
      </c>
      <c r="C717" s="8">
        <f>pinyin(B717)</f>
        <v/>
      </c>
      <c r="D717" s="8" t="inlineStr">
        <is>
          <t>有、具备</t>
        </is>
      </c>
      <c r="E717" s="8">
        <f>IFERROR(__xludf.DUMMYFUNCTION("GOOGLETRANSLATE(B717, ""zh"", ""vi"")"),"có")</f>
        <v/>
      </c>
      <c r="F717" s="8" t="inlineStr">
        <is>
          <t>很多东西可以证明我们人类拥有惊人的创造精神。</t>
        </is>
      </c>
      <c r="H717" s="9">
        <f>G717=B717</f>
        <v/>
      </c>
    </row>
    <row r="718">
      <c r="A718" s="8" t="inlineStr">
        <is>
          <t>bài 15</t>
        </is>
      </c>
      <c r="B718" s="11" t="inlineStr">
        <is>
          <t>衬托</t>
        </is>
      </c>
      <c r="C718" s="8">
        <f>pinyin(B718)</f>
        <v/>
      </c>
      <c r="D718" s="8" t="inlineStr">
        <is>
          <t>使某物更加突出</t>
        </is>
      </c>
      <c r="E718" s="8">
        <f>IFERROR(__xludf.DUMMYFUNCTION("GOOGLETRANSLATE(B718, ""zh"", ""vi"")"),"khởi hành")</f>
        <v/>
      </c>
      <c r="F718" s="8" t="inlineStr">
        <is>
          <t>红旗在蓝天的衬托下显得分外鲜艳。</t>
        </is>
      </c>
      <c r="H718" s="9">
        <f>G718=B718</f>
        <v/>
      </c>
    </row>
    <row r="719">
      <c r="A719" s="8" t="inlineStr">
        <is>
          <t>bài 15</t>
        </is>
      </c>
      <c r="B719" s="11" t="inlineStr">
        <is>
          <t>纵横</t>
        </is>
      </c>
      <c r="C719" s="8">
        <f>pinyin(B719)</f>
        <v/>
      </c>
      <c r="D719" s="8" t="inlineStr">
        <is>
          <t>横着竖着交错分布</t>
        </is>
      </c>
      <c r="E719" s="8">
        <f>IFERROR(__xludf.DUMMYFUNCTION("GOOGLETRANSLATE(B719, ""zh"", ""vi"")"),"Theo chiều dọc và chiều ngang")</f>
        <v/>
      </c>
      <c r="F719" s="8" t="inlineStr">
        <is>
          <t>东部地区交通发达，公路铁路纵横交错。</t>
        </is>
      </c>
      <c r="H719" s="9">
        <f>G719=B719</f>
        <v/>
      </c>
    </row>
    <row r="720">
      <c r="A720" s="8" t="inlineStr">
        <is>
          <t>bài 15</t>
        </is>
      </c>
      <c r="B720" s="11" t="inlineStr">
        <is>
          <t>汹涌</t>
        </is>
      </c>
      <c r="C720" s="8">
        <f>pinyin(B720)</f>
        <v/>
      </c>
      <c r="D720" s="8" t="inlineStr">
        <is>
          <t>水势很大、很急</t>
        </is>
      </c>
      <c r="E720" s="8">
        <f>IFERROR(__xludf.DUMMYFUNCTION("GOOGLETRANSLATE(B720, ""zh"", ""vi"")"),"hỗn loạn")</f>
        <v/>
      </c>
      <c r="F720" s="8" t="inlineStr">
        <is>
          <t>轮船在汹涌的海上缓慢地前进。</t>
        </is>
      </c>
      <c r="H720" s="9">
        <f>G720=B720</f>
        <v/>
      </c>
    </row>
    <row r="721">
      <c r="A721" s="8" t="inlineStr">
        <is>
          <t>bài 15</t>
        </is>
      </c>
      <c r="B721" s="11" t="inlineStr">
        <is>
          <t>目睹</t>
        </is>
      </c>
      <c r="C721" s="8">
        <f>pinyin(B721)</f>
        <v/>
      </c>
      <c r="D721" s="8" t="inlineStr">
        <is>
          <t>亲眼看到</t>
        </is>
      </c>
      <c r="E721" s="8">
        <f>IFERROR(__xludf.DUMMYFUNCTION("GOOGLETRANSLATE(B721, ""zh"", ""vi"")"),"nhân chứng")</f>
        <v/>
      </c>
      <c r="F721" s="8" t="inlineStr">
        <is>
          <t>我当时在场，目睹了事情的经过。</t>
        </is>
      </c>
      <c r="H721" s="9">
        <f>G721=B721</f>
        <v/>
      </c>
    </row>
    <row r="722">
      <c r="A722" s="8" t="inlineStr">
        <is>
          <t>bài 15</t>
        </is>
      </c>
      <c r="B722" s="11" t="inlineStr">
        <is>
          <t>重叠</t>
        </is>
      </c>
      <c r="C722" s="8">
        <f>pinyin(B722)</f>
        <v/>
      </c>
      <c r="D722" s="8" t="inlineStr">
        <is>
          <t>一层压着一层</t>
        </is>
      </c>
      <c r="E722" s="8">
        <f>IFERROR(__xludf.DUMMYFUNCTION("GOOGLETRANSLATE(B722, ""zh"", ""vi"")"),"chồng chéo")</f>
        <v/>
      </c>
      <c r="F722" s="8" t="inlineStr">
        <is>
          <t>这两个项目的内容有一些重叠。</t>
        </is>
      </c>
      <c r="H722" s="9">
        <f>G722=B722</f>
        <v/>
      </c>
    </row>
    <row r="723">
      <c r="A723" s="8" t="inlineStr">
        <is>
          <t>bài 15</t>
        </is>
      </c>
      <c r="B723" s="11" t="inlineStr">
        <is>
          <t>雕塑</t>
        </is>
      </c>
      <c r="C723" s="8">
        <f>pinyin(B723)</f>
        <v/>
      </c>
      <c r="D723" s="8" t="inlineStr">
        <is>
          <t>用泥土、石头等做成立体形象</t>
        </is>
      </c>
      <c r="E723" s="8">
        <f>IFERROR(__xludf.DUMMYFUNCTION("GOOGLETRANSLATE(B723, ""zh"", ""vi"")"),"điêu khắc")</f>
        <v/>
      </c>
      <c r="F723" s="8" t="inlineStr">
        <is>
          <t>这些雕塑的形象十分逼真。</t>
        </is>
      </c>
      <c r="H723" s="9">
        <f>G723=B723</f>
        <v/>
      </c>
    </row>
    <row r="724">
      <c r="A724" s="8" t="inlineStr">
        <is>
          <t>bài 15</t>
        </is>
      </c>
      <c r="B724" s="11" t="inlineStr">
        <is>
          <t>采集</t>
        </is>
      </c>
      <c r="C724" s="8">
        <f>pinyin(B724)</f>
        <v/>
      </c>
      <c r="D724" s="8" t="inlineStr">
        <is>
          <t>收集</t>
        </is>
      </c>
      <c r="E724" s="8">
        <f>IFERROR(__xludf.DUMMYFUNCTION("GOOGLETRANSLATE(B724, ""zh"", ""vi"")"),"bộ sưu tập")</f>
        <v/>
      </c>
      <c r="F724" s="8" t="inlineStr">
        <is>
          <t>秋天，老师带我们上山采集植物标本。</t>
        </is>
      </c>
      <c r="H724" s="9">
        <f>G724=B724</f>
        <v/>
      </c>
    </row>
    <row r="725">
      <c r="A725" s="8" t="inlineStr">
        <is>
          <t>bài 15</t>
        </is>
      </c>
      <c r="B725" s="11" t="inlineStr">
        <is>
          <t>种子</t>
        </is>
      </c>
      <c r="C725" s="8">
        <f>pinyin(B725)</f>
        <v/>
      </c>
      <c r="D725" s="8" t="inlineStr">
        <is>
          <t>植物生长的新生命</t>
        </is>
      </c>
      <c r="E725" s="8">
        <f>IFERROR(__xludf.DUMMYFUNCTION("GOOGLETRANSLATE(B725, ""zh"", ""vi"")"),"hạt giống")</f>
        <v/>
      </c>
      <c r="F725" s="8" t="inlineStr">
        <is>
          <t>春天，农民把种子撒在田里，等待秋天的收获。</t>
        </is>
      </c>
      <c r="H725" s="9">
        <f>G725=B725</f>
        <v/>
      </c>
    </row>
    <row r="726">
      <c r="A726" s="8" t="inlineStr">
        <is>
          <t>bài 15</t>
        </is>
      </c>
      <c r="B726" s="11" t="inlineStr">
        <is>
          <t>稻谷</t>
        </is>
      </c>
      <c r="C726" s="8">
        <f>pinyin(B726)</f>
        <v/>
      </c>
      <c r="D726" s="8" t="inlineStr">
        <is>
          <t>成熟的水稻</t>
        </is>
      </c>
      <c r="E726" s="8">
        <f>IFERROR(__xludf.DUMMYFUNCTION("GOOGLETRANSLATE(B726, ""zh"", ""vi"")"),"lúa")</f>
        <v/>
      </c>
      <c r="F726" s="8" t="inlineStr">
        <is>
          <t>秋天，田里的稻谷像一片片金色的海洋。</t>
        </is>
      </c>
      <c r="H726" s="9">
        <f>G726=B726</f>
        <v/>
      </c>
    </row>
    <row r="727">
      <c r="A727" s="8" t="inlineStr">
        <is>
          <t>bài 15</t>
        </is>
      </c>
      <c r="B727" s="11" t="inlineStr">
        <is>
          <t>阻拦</t>
        </is>
      </c>
      <c r="C727" s="8">
        <f>pinyin(B727)</f>
        <v/>
      </c>
      <c r="D727" s="8" t="inlineStr">
        <is>
          <t>阻止别人做某事</t>
        </is>
      </c>
      <c r="E727" s="8">
        <f>IFERROR(__xludf.DUMMYFUNCTION("GOOGLETRANSLATE(B727, ""zh"", ""vi"")"),"dừng lại")</f>
        <v/>
      </c>
      <c r="F727" s="8" t="inlineStr">
        <is>
          <t>你既然一定要去，我也不便阻拦。</t>
        </is>
      </c>
      <c r="H727" s="9">
        <f>G727=B727</f>
        <v/>
      </c>
    </row>
    <row r="728">
      <c r="A728" s="8" t="inlineStr">
        <is>
          <t>bài 15</t>
        </is>
      </c>
      <c r="B728" s="11" t="inlineStr">
        <is>
          <t>开辟</t>
        </is>
      </c>
      <c r="C728" s="8">
        <f>pinyin(B728)</f>
        <v/>
      </c>
      <c r="D728" s="8" t="inlineStr">
        <is>
          <t>开创、开拓</t>
        </is>
      </c>
      <c r="E728" s="8">
        <f>IFERROR(__xludf.DUMMYFUNCTION("GOOGLETRANSLATE(B728, ""zh"", ""vi"")"),"mở ra")</f>
        <v/>
      </c>
      <c r="F728" s="8" t="inlineStr">
        <is>
          <t>我们又开辟了一条上山的新路线。</t>
        </is>
      </c>
      <c r="H728" s="9">
        <f>G728=B728</f>
        <v/>
      </c>
    </row>
    <row r="729">
      <c r="A729" s="8" t="inlineStr">
        <is>
          <t>bài 15</t>
        </is>
      </c>
      <c r="B729" s="11" t="inlineStr">
        <is>
          <t>心血</t>
        </is>
      </c>
      <c r="C729" s="8">
        <f>pinyin(B729)</f>
        <v/>
      </c>
      <c r="D729" s="8" t="inlineStr">
        <is>
          <t>花费的精力和感情</t>
        </is>
      </c>
      <c r="E729" s="8">
        <f>IFERROR(__xludf.DUMMYFUNCTION("GOOGLETRANSLATE(B729, ""zh"", ""vi"")"),"Tâm hồn")</f>
        <v/>
      </c>
      <c r="F729" s="8" t="inlineStr">
        <is>
          <t>为了完成这部著作，他花费了一生的心血。</t>
        </is>
      </c>
      <c r="H729" s="9">
        <f>G729=B729</f>
        <v/>
      </c>
    </row>
    <row r="730">
      <c r="A730" s="8" t="inlineStr">
        <is>
          <t>bài 15</t>
        </is>
      </c>
      <c r="B730" s="11" t="inlineStr">
        <is>
          <t>辛勤</t>
        </is>
      </c>
      <c r="C730" s="8">
        <f>pinyin(B730)</f>
        <v/>
      </c>
      <c r="D730" s="8" t="inlineStr">
        <is>
          <t>勤劳努力</t>
        </is>
      </c>
      <c r="E730" s="8">
        <f>IFERROR(__xludf.DUMMYFUNCTION("GOOGLETRANSLATE(B730, ""zh"", ""vi"")"),"công việc chăm chỉ")</f>
        <v/>
      </c>
      <c r="F730" s="8" t="inlineStr">
        <is>
          <t>农民用辛勤的汗水换来了丰收的果实。</t>
        </is>
      </c>
      <c r="H730" s="9">
        <f>G730=B730</f>
        <v/>
      </c>
    </row>
    <row r="731">
      <c r="A731" s="8" t="inlineStr">
        <is>
          <t>bài 15</t>
        </is>
      </c>
      <c r="B731" s="11" t="inlineStr">
        <is>
          <t>锲而不舍</t>
        </is>
      </c>
      <c r="C731" s="8">
        <f>pinyin(B731)</f>
        <v/>
      </c>
      <c r="D731" s="8" t="inlineStr">
        <is>
          <t>一直坚持，不放弃</t>
        </is>
      </c>
      <c r="E731" s="8">
        <f>IFERROR(__xludf.DUMMYFUNCTION("GOOGLETRANSLATE(B731, ""zh"", ""vi"")"),"Sự kiên trì")</f>
        <v/>
      </c>
      <c r="F731" s="8" t="inlineStr">
        <is>
          <t>在学习上就是应该有锲而不舍的精神。</t>
        </is>
      </c>
      <c r="H731" s="9">
        <f>G731=B731</f>
        <v/>
      </c>
    </row>
    <row r="732">
      <c r="A732" s="8" t="inlineStr">
        <is>
          <t>bài 16</t>
        </is>
      </c>
      <c r="B732" s="11" t="inlineStr">
        <is>
          <t>鉴别</t>
        </is>
      </c>
      <c r="C732" s="8">
        <f>pinyin(B732)</f>
        <v/>
      </c>
      <c r="D732" s="8" t="inlineStr">
        <is>
          <t>识别真假或好坏</t>
        </is>
      </c>
      <c r="E732" s="8">
        <f>IFERROR(__xludf.DUMMYFUNCTION("GOOGLETRANSLATE(B732, ""zh"", ""vi"")"),"Nhận dạng")</f>
        <v/>
      </c>
      <c r="F732" s="8" t="inlineStr">
        <is>
          <t>他很会鉴别真假古董。</t>
        </is>
      </c>
      <c r="H732" s="9">
        <f>G732=B732</f>
        <v/>
      </c>
    </row>
    <row r="733">
      <c r="A733" s="8" t="inlineStr">
        <is>
          <t>bài 16</t>
        </is>
      </c>
      <c r="B733" s="11" t="inlineStr">
        <is>
          <t>评估</t>
        </is>
      </c>
      <c r="C733" s="8">
        <f>pinyin(B733)</f>
        <v/>
      </c>
      <c r="D733" s="8" t="inlineStr">
        <is>
          <t>对事物进行评价和估算</t>
        </is>
      </c>
      <c r="E733" s="8">
        <f>IFERROR(__xludf.DUMMYFUNCTION("GOOGLETRANSLATE(B733, ""zh"", ""vi"")"),"Đánh giá")</f>
        <v/>
      </c>
      <c r="F733" s="8" t="inlineStr">
        <is>
          <t>专家正在评估这个项目的风险。</t>
        </is>
      </c>
      <c r="H733" s="9">
        <f>G733=B733</f>
        <v/>
      </c>
    </row>
    <row r="734">
      <c r="A734" s="8" t="inlineStr">
        <is>
          <t>bài 16</t>
        </is>
      </c>
      <c r="B734" s="11" t="inlineStr">
        <is>
          <t>队伍</t>
        </is>
      </c>
      <c r="C734" s="8">
        <f>pinyin(B734)</f>
        <v/>
      </c>
      <c r="D734" s="8" t="inlineStr">
        <is>
          <t>有组织的一群人</t>
        </is>
      </c>
      <c r="E734" s="8">
        <f>IFERROR(__xludf.DUMMYFUNCTION("GOOGLETRANSLATE(B734, ""zh"", ""vi"")"),"Đội")</f>
        <v/>
      </c>
      <c r="F734" s="8" t="inlineStr">
        <is>
          <t>救援队伍很快就到达了现场。</t>
        </is>
      </c>
      <c r="H734" s="9">
        <f>G734=B734</f>
        <v/>
      </c>
    </row>
    <row r="735">
      <c r="A735" s="8" t="inlineStr">
        <is>
          <t>bài 16</t>
        </is>
      </c>
      <c r="B735" s="11" t="inlineStr">
        <is>
          <t>严峻</t>
        </is>
      </c>
      <c r="C735" s="8">
        <f>pinyin(B735)</f>
        <v/>
      </c>
      <c r="D735" s="8" t="inlineStr">
        <is>
          <t>情况很严重、很紧张</t>
        </is>
      </c>
      <c r="E735" s="8">
        <f>IFERROR(__xludf.DUMMYFUNCTION("GOOGLETRANSLATE(B735, ""zh"", ""vi"")"),"nghiêm trọng")</f>
        <v/>
      </c>
      <c r="F735" s="8" t="inlineStr">
        <is>
          <t>当前的就业形势十分严峻。</t>
        </is>
      </c>
      <c r="H735" s="9">
        <f>G735=B735</f>
        <v/>
      </c>
    </row>
    <row r="736">
      <c r="A736" s="8" t="inlineStr">
        <is>
          <t>bài 16</t>
        </is>
      </c>
      <c r="B736" s="11" t="inlineStr">
        <is>
          <t>濒临</t>
        </is>
      </c>
      <c r="C736" s="8">
        <f>pinyin(B736)</f>
        <v/>
      </c>
      <c r="D736" s="8" t="inlineStr">
        <is>
          <t>快要接近某种不好的状态</t>
        </is>
      </c>
      <c r="E736" s="8">
        <f>IFERROR(__xludf.DUMMYFUNCTION("GOOGLETRANSLATE(B736, ""zh"", ""vi"")"),"Sắp sửa")</f>
        <v/>
      </c>
      <c r="F736" s="8" t="inlineStr">
        <is>
          <t>这种动物已经濒临灭绝。</t>
        </is>
      </c>
      <c r="H736" s="9">
        <f>G736=B736</f>
        <v/>
      </c>
    </row>
    <row r="737">
      <c r="A737" s="8" t="inlineStr">
        <is>
          <t>bài 16</t>
        </is>
      </c>
      <c r="B737" s="11" t="inlineStr">
        <is>
          <t>权威</t>
        </is>
      </c>
      <c r="C737" s="8">
        <f>pinyin(B737)</f>
        <v/>
      </c>
      <c r="D737" s="8" t="inlineStr">
        <is>
          <t>最有说服力、最让人信服的</t>
        </is>
      </c>
      <c r="E737" s="8">
        <f>IFERROR(__xludf.DUMMYFUNCTION("GOOGLETRANSLATE(B737, ""zh"", ""vi"")"),"thẩm quyền")</f>
        <v/>
      </c>
      <c r="F737" s="8" t="inlineStr">
        <is>
          <t>他在学术界很有权威。</t>
        </is>
      </c>
      <c r="H737" s="9">
        <f>G737=B737</f>
        <v/>
      </c>
    </row>
    <row r="738">
      <c r="A738" s="8" t="inlineStr">
        <is>
          <t>bài 16</t>
        </is>
      </c>
      <c r="B738" s="11" t="inlineStr">
        <is>
          <t>号召</t>
        </is>
      </c>
      <c r="C738" s="8">
        <f>pinyin(B738)</f>
        <v/>
      </c>
      <c r="D738" s="8" t="inlineStr">
        <is>
          <t>公开呼吁大家做某事</t>
        </is>
      </c>
      <c r="E738" s="8">
        <f>IFERROR(__xludf.DUMMYFUNCTION("GOOGLETRANSLATE(B738, ""zh"", ""vi"")"),"Lời kêu gọi hành động")</f>
        <v/>
      </c>
      <c r="F738" s="8" t="inlineStr">
        <is>
          <t>老师号召同学们积极参加活动。</t>
        </is>
      </c>
      <c r="H738" s="9">
        <f>G738=B738</f>
        <v/>
      </c>
    </row>
    <row r="739">
      <c r="A739" s="8" t="inlineStr">
        <is>
          <t>bài 16</t>
        </is>
      </c>
      <c r="B739" s="11" t="inlineStr">
        <is>
          <t>证实</t>
        </is>
      </c>
      <c r="C739" s="8">
        <f>pinyin(B739)</f>
        <v/>
      </c>
      <c r="D739" s="8" t="inlineStr">
        <is>
          <t>证明事情是真的</t>
        </is>
      </c>
      <c r="E739" s="8">
        <f>IFERROR(__xludf.DUMMYFUNCTION("GOOGLETRANSLATE(B739, ""zh"", ""vi"")"),"Đã xác nhận")</f>
        <v/>
      </c>
      <c r="F739" s="8" t="inlineStr">
        <is>
          <t>实验结果证实了这个理论。</t>
        </is>
      </c>
      <c r="H739" s="9">
        <f>G739=B739</f>
        <v/>
      </c>
    </row>
    <row r="740">
      <c r="A740" s="8" t="inlineStr">
        <is>
          <t>bài 16</t>
        </is>
      </c>
      <c r="B740" s="11" t="inlineStr">
        <is>
          <t>成效</t>
        </is>
      </c>
      <c r="C740" s="8">
        <f>pinyin(B740)</f>
        <v/>
      </c>
      <c r="D740" s="8" t="inlineStr">
        <is>
          <t>取得的效果或成果</t>
        </is>
      </c>
      <c r="E740" s="8">
        <f>IFERROR(__xludf.DUMMYFUNCTION("GOOGLETRANSLATE(B740, ""zh"", ""vi"")"),"Kết quả")</f>
        <v/>
      </c>
      <c r="F740" s="8" t="inlineStr">
        <is>
          <t>他的努力终于取得了显著成效。</t>
        </is>
      </c>
      <c r="H740" s="9">
        <f>G740=B740</f>
        <v/>
      </c>
    </row>
    <row r="741">
      <c r="A741" s="8" t="inlineStr">
        <is>
          <t>bài 16</t>
        </is>
      </c>
      <c r="B741" s="11" t="inlineStr">
        <is>
          <t>显著</t>
        </is>
      </c>
      <c r="C741" s="8">
        <f>pinyin(B741)</f>
        <v/>
      </c>
      <c r="D741" s="8" t="inlineStr">
        <is>
          <t>非常明显、突出</t>
        </is>
      </c>
      <c r="E741" s="8">
        <f>IFERROR(__xludf.DUMMYFUNCTION("GOOGLETRANSLATE(B741, ""zh"", ""vi"")"),"Có ý nghĩa")</f>
        <v/>
      </c>
      <c r="F741" s="8" t="inlineStr">
        <is>
          <t>今年公司的业绩有了显著提高。</t>
        </is>
      </c>
      <c r="H741" s="9">
        <f>G741=B741</f>
        <v/>
      </c>
    </row>
    <row r="742">
      <c r="A742" s="8" t="inlineStr">
        <is>
          <t>bài 16</t>
        </is>
      </c>
      <c r="B742" s="11" t="inlineStr">
        <is>
          <t>用户</t>
        </is>
      </c>
      <c r="C742" s="8">
        <f>pinyin(B742)</f>
        <v/>
      </c>
      <c r="D742" s="8" t="inlineStr">
        <is>
          <t>使用某种产品或服务的人</t>
        </is>
      </c>
      <c r="E742" s="8">
        <f>IFERROR(__xludf.DUMMYFUNCTION("GOOGLETRANSLATE(B742, ""zh"", ""vi"")"),"người dùng")</f>
        <v/>
      </c>
      <c r="F742" s="8" t="inlineStr">
        <is>
          <t>这款软件的用户越来越多。</t>
        </is>
      </c>
      <c r="H742" s="9">
        <f>G742=B742</f>
        <v/>
      </c>
    </row>
    <row r="743">
      <c r="A743" s="8" t="inlineStr">
        <is>
          <t>bài 16</t>
        </is>
      </c>
      <c r="B743" s="11" t="inlineStr">
        <is>
          <t>浓厚</t>
        </is>
      </c>
      <c r="C743" s="8">
        <f>pinyin(B743)</f>
        <v/>
      </c>
      <c r="D743" s="8" t="inlineStr">
        <is>
          <t>程度很深、很浓</t>
        </is>
      </c>
      <c r="E743" s="8">
        <f>IFERROR(__xludf.DUMMYFUNCTION("GOOGLETRANSLATE(B743, ""zh"", ""vi"")"),"mạnh")</f>
        <v/>
      </c>
      <c r="F743" s="8" t="inlineStr">
        <is>
          <t>他对摄影有着浓厚的兴趣。</t>
        </is>
      </c>
      <c r="H743" s="9">
        <f>G743=B743</f>
        <v/>
      </c>
    </row>
    <row r="744">
      <c r="A744" s="8" t="inlineStr">
        <is>
          <t>bài 16</t>
        </is>
      </c>
      <c r="B744" s="11" t="inlineStr">
        <is>
          <t>统计</t>
        </is>
      </c>
      <c r="C744" s="8">
        <f>pinyin(B744)</f>
        <v/>
      </c>
      <c r="D744" s="8" t="inlineStr">
        <is>
          <t>对数量或情况进行计算统计</t>
        </is>
      </c>
      <c r="E744" s="8">
        <f>IFERROR(__xludf.DUMMYFUNCTION("GOOGLETRANSLATE(B744, ""zh"", ""vi"")"),"thống kê")</f>
        <v/>
      </c>
      <c r="F744" s="8" t="inlineStr">
        <is>
          <t>请统计一下参加会议的人数。</t>
        </is>
      </c>
      <c r="H744" s="9">
        <f>G744=B744</f>
        <v/>
      </c>
    </row>
    <row r="745">
      <c r="A745" s="8" t="inlineStr">
        <is>
          <t>bài 16</t>
        </is>
      </c>
      <c r="B745" s="11" t="inlineStr">
        <is>
          <t>足以</t>
        </is>
      </c>
      <c r="C745" s="8">
        <f>pinyin(B745)</f>
        <v/>
      </c>
      <c r="D745" s="8" t="inlineStr">
        <is>
          <t>完全可以、足够</t>
        </is>
      </c>
      <c r="E745" s="8">
        <f>IFERROR(__xludf.DUMMYFUNCTION("GOOGLETRANSLATE(B745, ""zh"", ""vi"")"),"hợp lý")</f>
        <v/>
      </c>
      <c r="F745" s="8" t="inlineStr">
        <is>
          <t>这些证据足以证明他的清白。</t>
        </is>
      </c>
      <c r="H745" s="9">
        <f>G745=B745</f>
        <v/>
      </c>
    </row>
    <row r="746">
      <c r="A746" s="8" t="inlineStr">
        <is>
          <t>bài 16</t>
        </is>
      </c>
      <c r="B746" s="11" t="inlineStr">
        <is>
          <t>心甘情愿</t>
        </is>
      </c>
      <c r="C746" s="8">
        <f>pinyin(B746)</f>
        <v/>
      </c>
      <c r="D746" s="8" t="inlineStr">
        <is>
          <t>完全自愿、心里很愿意</t>
        </is>
      </c>
      <c r="E746" s="8">
        <f>IFERROR(__xludf.DUMMYFUNCTION("GOOGLETRANSLATE(B746, ""zh"", ""vi"")"),"Sẵn sàng")</f>
        <v/>
      </c>
      <c r="F746" s="8" t="inlineStr">
        <is>
          <t>他心甘情愿地帮助别人。</t>
        </is>
      </c>
      <c r="H746" s="9">
        <f>G746=B746</f>
        <v/>
      </c>
    </row>
    <row r="747">
      <c r="A747" s="8" t="inlineStr">
        <is>
          <t>bài 16</t>
        </is>
      </c>
      <c r="B747" s="11" t="inlineStr">
        <is>
          <t>支撑</t>
        </is>
      </c>
      <c r="C747" s="8">
        <f>pinyin(B747)</f>
        <v/>
      </c>
      <c r="D747" s="8" t="inlineStr">
        <is>
          <t>支撑住、支持</t>
        </is>
      </c>
      <c r="E747" s="8">
        <f>IFERROR(__xludf.DUMMYFUNCTION("GOOGLETRANSLATE(B747, ""zh"", ""vi"")"),"ủng hộ")</f>
        <v/>
      </c>
      <c r="F747" s="8" t="inlineStr">
        <is>
          <t>家庭的爱是支撑他前进的力量。</t>
        </is>
      </c>
      <c r="H747" s="9">
        <f>G747=B747</f>
        <v/>
      </c>
    </row>
    <row r="748">
      <c r="A748" s="8" t="inlineStr">
        <is>
          <t>bài 16</t>
        </is>
      </c>
      <c r="B748" s="11" t="inlineStr">
        <is>
          <t>畅销</t>
        </is>
      </c>
      <c r="C748" s="8">
        <f>pinyin(B748)</f>
        <v/>
      </c>
      <c r="D748" s="8" t="inlineStr">
        <is>
          <t>卖得很好、很受欢迎</t>
        </is>
      </c>
      <c r="E748" s="8">
        <f>IFERROR(__xludf.DUMMYFUNCTION("GOOGLETRANSLATE(B748, ""zh"", ""vi"")"),"Bán chạy nhất")</f>
        <v/>
      </c>
      <c r="F748" s="8" t="inlineStr">
        <is>
          <t>这本书非常畅销。</t>
        </is>
      </c>
      <c r="H748" s="9">
        <f>G748=B748</f>
        <v/>
      </c>
    </row>
    <row r="749">
      <c r="A749" s="8" t="inlineStr">
        <is>
          <t>bài 16</t>
        </is>
      </c>
      <c r="B749" s="11" t="inlineStr">
        <is>
          <t>报酬</t>
        </is>
      </c>
      <c r="C749" s="8">
        <f>pinyin(B749)</f>
        <v/>
      </c>
      <c r="D749" s="8" t="inlineStr">
        <is>
          <t>得到的回报或酬劳</t>
        </is>
      </c>
      <c r="E749" s="8">
        <f>IFERROR(__xludf.DUMMYFUNCTION("GOOGLETRANSLATE(B749, ""zh"", ""vi"")"),"tiền lương")</f>
        <v/>
      </c>
      <c r="F749" s="8" t="inlineStr">
        <is>
          <t>他的工作报酬很高。</t>
        </is>
      </c>
      <c r="H749" s="9">
        <f>G749=B749</f>
        <v/>
      </c>
    </row>
    <row r="750">
      <c r="A750" s="8" t="inlineStr">
        <is>
          <t>bài 16</t>
        </is>
      </c>
      <c r="B750" s="11" t="inlineStr">
        <is>
          <t>童话</t>
        </is>
      </c>
      <c r="C750" s="8">
        <f>pinyin(B750)</f>
        <v/>
      </c>
      <c r="D750" s="8" t="inlineStr">
        <is>
          <t>儿童故事、幻想故事</t>
        </is>
      </c>
      <c r="E750" s="8">
        <f>IFERROR(__xludf.DUMMYFUNCTION("GOOGLETRANSLATE(B750, ""zh"", ""vi"")"),"truyện cổ tích")</f>
        <v/>
      </c>
      <c r="F750" s="8" t="inlineStr">
        <is>
          <t>小时候妈妈常给我讲童话故事。</t>
        </is>
      </c>
      <c r="H750" s="9">
        <f>G750=B750</f>
        <v/>
      </c>
    </row>
    <row r="751">
      <c r="A751" s="8" t="inlineStr">
        <is>
          <t>bài 16</t>
        </is>
      </c>
      <c r="B751" s="11" t="inlineStr">
        <is>
          <t>课题</t>
        </is>
      </c>
      <c r="C751" s="8">
        <f>pinyin(B751)</f>
        <v/>
      </c>
      <c r="D751" s="8" t="inlineStr">
        <is>
          <t>需要研究解决的问题</t>
        </is>
      </c>
      <c r="E751" s="8">
        <f>IFERROR(__xludf.DUMMYFUNCTION("GOOGLETRANSLATE(B751, ""zh"", ""vi"")"),"Chủ đề nghiên cứu")</f>
        <v/>
      </c>
      <c r="F751" s="8" t="inlineStr">
        <is>
          <t>保护环境是一个重要的课题。</t>
        </is>
      </c>
      <c r="H751" s="9">
        <f>G751=B751</f>
        <v/>
      </c>
    </row>
    <row r="752">
      <c r="A752" s="8" t="inlineStr">
        <is>
          <t>bài 16</t>
        </is>
      </c>
      <c r="B752" s="11" t="inlineStr">
        <is>
          <t>立体</t>
        </is>
      </c>
      <c r="C752" s="8">
        <f>pinyin(B752)</f>
        <v/>
      </c>
      <c r="D752" s="8" t="inlineStr">
        <is>
          <t>有三维空间感的、立体的</t>
        </is>
      </c>
      <c r="E752" s="8">
        <f>IFERROR(__xludf.DUMMYFUNCTION("GOOGLETRANSLATE(B752, ""zh"", ""vi"")"),"3D")</f>
        <v/>
      </c>
      <c r="F752" s="8" t="inlineStr">
        <is>
          <t>这幅画看起来很有立体感。</t>
        </is>
      </c>
      <c r="H752" s="9">
        <f>G752=B752</f>
        <v/>
      </c>
    </row>
    <row r="753">
      <c r="A753" s="8" t="inlineStr">
        <is>
          <t>bài 16</t>
        </is>
      </c>
      <c r="B753" s="11" t="inlineStr">
        <is>
          <t>还原</t>
        </is>
      </c>
      <c r="C753" s="8">
        <f>pinyin(B753)</f>
        <v/>
      </c>
      <c r="D753" s="8" t="inlineStr">
        <is>
          <t>恢复原来的样子</t>
        </is>
      </c>
      <c r="E753" s="8">
        <f>IFERROR(__xludf.DUMMYFUNCTION("GOOGLETRANSLATE(B753, ""zh"", ""vi"")"),"sự giảm bớt")</f>
        <v/>
      </c>
      <c r="F753" s="8" t="inlineStr">
        <is>
          <t>他把历史事件完美地还原了。</t>
        </is>
      </c>
      <c r="H753" s="9">
        <f>G753=B753</f>
        <v/>
      </c>
    </row>
    <row r="754">
      <c r="A754" s="8" t="inlineStr">
        <is>
          <t>bài 16</t>
        </is>
      </c>
      <c r="B754" s="11" t="inlineStr">
        <is>
          <t>名副其实</t>
        </is>
      </c>
      <c r="C754" s="8">
        <f>pinyin(B754)</f>
        <v/>
      </c>
      <c r="D754" s="8" t="inlineStr">
        <is>
          <t>名实相符、真正的</t>
        </is>
      </c>
      <c r="E754" s="8">
        <f>IFERROR(__xludf.DUMMYFUNCTION("GOOGLETRANSLATE(B754, ""zh"", ""vi"")"),"Hoàn toàn xứng đáng với tên gọi của nó.")</f>
        <v/>
      </c>
      <c r="F754" s="8" t="inlineStr">
        <is>
          <t>他是个名副其实的摄影大师。</t>
        </is>
      </c>
      <c r="H754" s="9">
        <f>G754=B754</f>
        <v/>
      </c>
    </row>
    <row r="755">
      <c r="A755" s="8" t="inlineStr">
        <is>
          <t>bài 16</t>
        </is>
      </c>
      <c r="B755" s="11" t="inlineStr">
        <is>
          <t>高超</t>
        </is>
      </c>
      <c r="C755" s="8">
        <f>pinyin(B755)</f>
        <v/>
      </c>
      <c r="D755" s="8" t="inlineStr">
        <is>
          <t>水平很高、超出一般</t>
        </is>
      </c>
      <c r="E755" s="8">
        <f>IFERROR(__xludf.DUMMYFUNCTION("GOOGLETRANSLATE(B755, ""zh"", ""vi"")"),"tuyệt vời")</f>
        <v/>
      </c>
      <c r="F755" s="8" t="inlineStr">
        <is>
          <t>他的摄影技术非常高超。</t>
        </is>
      </c>
      <c r="H755" s="9">
        <f>G755=B755</f>
        <v/>
      </c>
    </row>
    <row r="756">
      <c r="A756" s="8" t="inlineStr">
        <is>
          <t>bài 16</t>
        </is>
      </c>
      <c r="B756" s="11" t="inlineStr">
        <is>
          <t>素质</t>
        </is>
      </c>
      <c r="C756" s="8">
        <f>pinyin(B756)</f>
        <v/>
      </c>
      <c r="D756" s="8" t="inlineStr">
        <is>
          <t>个人具备的素养和能力</t>
        </is>
      </c>
      <c r="E756" s="8">
        <f>IFERROR(__xludf.DUMMYFUNCTION("GOOGLETRANSLATE(B756, ""zh"", ""vi"")"),"chất lượng")</f>
        <v/>
      </c>
      <c r="F756" s="8" t="inlineStr">
        <is>
          <t>良好的心理素质很重要。</t>
        </is>
      </c>
      <c r="H756" s="9">
        <f>G756=B756</f>
        <v/>
      </c>
    </row>
    <row r="757">
      <c r="A757" s="8" t="inlineStr">
        <is>
          <t>bài 16</t>
        </is>
      </c>
      <c r="B757" s="11" t="inlineStr">
        <is>
          <t>野生</t>
        </is>
      </c>
      <c r="C757" s="8">
        <f>pinyin(B757)</f>
        <v/>
      </c>
      <c r="D757" s="8" t="inlineStr">
        <is>
          <t>在自然环境中生长的</t>
        </is>
      </c>
      <c r="E757" s="8">
        <f>IFERROR(__xludf.DUMMYFUNCTION("GOOGLETRANSLATE(B757, ""zh"", ""vi"")"),"hoang dã")</f>
        <v/>
      </c>
      <c r="F757" s="8" t="inlineStr">
        <is>
          <t>这里有很多野生动物。</t>
        </is>
      </c>
      <c r="H757" s="9">
        <f>G757=B757</f>
        <v/>
      </c>
    </row>
    <row r="758">
      <c r="A758" s="8" t="inlineStr">
        <is>
          <t>bài 16</t>
        </is>
      </c>
      <c r="B758" s="11" t="inlineStr">
        <is>
          <t>压抑</t>
        </is>
      </c>
      <c r="C758" s="8">
        <f>pinyin(B758)</f>
        <v/>
      </c>
      <c r="D758" s="8" t="inlineStr">
        <is>
          <t>心里不舒服、被压住的感觉</t>
        </is>
      </c>
      <c r="E758" s="8">
        <f>IFERROR(__xludf.DUMMYFUNCTION("GOOGLETRANSLATE(B758, ""zh"", ""vi"")"),"Sự đàn áp")</f>
        <v/>
      </c>
      <c r="F758" s="8" t="inlineStr">
        <is>
          <t>会场的气氛有些压抑。</t>
        </is>
      </c>
      <c r="H758" s="9">
        <f>G758=B758</f>
        <v/>
      </c>
    </row>
    <row r="759">
      <c r="A759" s="8" t="inlineStr">
        <is>
          <t>bài 16</t>
        </is>
      </c>
      <c r="B759" s="11" t="inlineStr">
        <is>
          <t>完毕</t>
        </is>
      </c>
      <c r="C759" s="8">
        <f>pinyin(B759)</f>
        <v/>
      </c>
      <c r="D759" s="8" t="inlineStr">
        <is>
          <t>做完、完成</t>
        </is>
      </c>
      <c r="E759" s="8">
        <f>IFERROR(__xludf.DUMMYFUNCTION("GOOGLETRANSLATE(B759, ""zh"", ""vi"")"),"hoàn thành")</f>
        <v/>
      </c>
      <c r="F759" s="8" t="inlineStr">
        <is>
          <t>工作完毕后他终于可以休息了。</t>
        </is>
      </c>
      <c r="H759" s="9">
        <f>G759=B759</f>
        <v/>
      </c>
    </row>
    <row r="760">
      <c r="A760" s="8" t="inlineStr">
        <is>
          <t>bài 16</t>
        </is>
      </c>
      <c r="B760" s="11" t="inlineStr">
        <is>
          <t>瞪</t>
        </is>
      </c>
      <c r="C760" s="8">
        <f>pinyin(B760)</f>
        <v/>
      </c>
      <c r="D760" s="8" t="inlineStr">
        <is>
          <t>用力睁大眼睛看</t>
        </is>
      </c>
      <c r="E760" s="8">
        <f>IFERROR(__xludf.DUMMYFUNCTION("GOOGLETRANSLATE(B760, ""zh"", ""vi"")"),"nhìn chằm chằm")</f>
        <v/>
      </c>
      <c r="F760" s="8" t="inlineStr">
        <is>
          <t>他瞪了我一眼。</t>
        </is>
      </c>
      <c r="H760" s="9">
        <f>G760=B760</f>
        <v/>
      </c>
    </row>
    <row r="761">
      <c r="A761" s="8" t="inlineStr">
        <is>
          <t>bài 16</t>
        </is>
      </c>
      <c r="B761" s="11" t="inlineStr">
        <is>
          <t>注视</t>
        </is>
      </c>
      <c r="C761" s="8">
        <f>pinyin(B761)</f>
        <v/>
      </c>
      <c r="D761" s="8" t="inlineStr">
        <is>
          <t>集中注意力看、盯着看</t>
        </is>
      </c>
      <c r="E761" s="8">
        <f>IFERROR(__xludf.DUMMYFUNCTION("GOOGLETRANSLATE(B761, ""zh"", ""vi"")"),"ánh nhìn")</f>
        <v/>
      </c>
      <c r="F761" s="8" t="inlineStr">
        <is>
          <t>他一直注视着远方的雪山。</t>
        </is>
      </c>
      <c r="H761" s="9">
        <f>G761=B761</f>
        <v/>
      </c>
    </row>
    <row r="762">
      <c r="A762" s="8" t="inlineStr">
        <is>
          <t>bài 16</t>
        </is>
      </c>
      <c r="B762" s="11" t="inlineStr">
        <is>
          <t>斑</t>
        </is>
      </c>
      <c r="C762" s="8">
        <f>pinyin(B762)</f>
        <v/>
      </c>
      <c r="D762" s="8" t="inlineStr">
        <is>
          <t>颜色不同的斑点或花纹</t>
        </is>
      </c>
      <c r="E762" s="8">
        <f>IFERROR(__xludf.DUMMYFUNCTION("GOOGLETRANSLATE(B762, ""zh"", ""vi"")"),"điểm")</f>
        <v/>
      </c>
      <c r="F762" s="8" t="inlineStr">
        <is>
          <t>雪豹身上有美丽的斑纹。</t>
        </is>
      </c>
      <c r="H762" s="9">
        <f>G762=B762</f>
        <v/>
      </c>
    </row>
    <row r="763">
      <c r="A763" s="8" t="inlineStr">
        <is>
          <t>bài 16</t>
        </is>
      </c>
      <c r="B763" s="11" t="inlineStr">
        <is>
          <t>致力</t>
        </is>
      </c>
      <c r="C763" s="8">
        <f>pinyin(B763)</f>
        <v/>
      </c>
      <c r="D763" s="8" t="inlineStr">
        <is>
          <t>全力投入去做某事</t>
        </is>
      </c>
      <c r="E763" s="8">
        <f>IFERROR(__xludf.DUMMYFUNCTION("GOOGLETRANSLATE(B763, ""zh"", ""vi"")"),"Tận tụy")</f>
        <v/>
      </c>
      <c r="F763" s="8" t="inlineStr">
        <is>
          <t>他一生都致力于野生动物保护。</t>
        </is>
      </c>
      <c r="H763" s="9">
        <f>G763=B763</f>
        <v/>
      </c>
    </row>
    <row r="764">
      <c r="A764" s="8" t="inlineStr">
        <is>
          <t>bài 16</t>
        </is>
      </c>
      <c r="B764" s="11" t="inlineStr">
        <is>
          <t>领袖</t>
        </is>
      </c>
      <c r="C764" s="8">
        <f>pinyin(B764)</f>
        <v/>
      </c>
      <c r="D764" s="8" t="inlineStr">
        <is>
          <t>带领别人的人、领导者</t>
        </is>
      </c>
      <c r="E764" s="8">
        <f>IFERROR(__xludf.DUMMYFUNCTION("GOOGLETRANSLATE(B764, ""zh"", ""vi"")"),"lãnh đạo")</f>
        <v/>
      </c>
      <c r="F764" s="8" t="inlineStr">
        <is>
          <t>徐健是这支队伍的领袖。</t>
        </is>
      </c>
      <c r="H764" s="9">
        <f>G764=B764</f>
        <v/>
      </c>
    </row>
    <row r="765">
      <c r="A765" s="8" t="inlineStr">
        <is>
          <t>bài 16</t>
        </is>
      </c>
      <c r="B765" s="11" t="inlineStr">
        <is>
          <t>辨认</t>
        </is>
      </c>
      <c r="C765" s="8">
        <f>pinyin(B765)</f>
        <v/>
      </c>
      <c r="D765" s="8" t="inlineStr">
        <is>
          <t>辨别和认出</t>
        </is>
      </c>
      <c r="E765" s="8">
        <f>IFERROR(__xludf.DUMMYFUNCTION("GOOGLETRANSLATE(B765, ""zh"", ""vi"")"),"nhận dạng")</f>
        <v/>
      </c>
      <c r="F765" s="8" t="inlineStr">
        <is>
          <t>我很难辨认出照片里的人。</t>
        </is>
      </c>
      <c r="H765" s="9">
        <f>G765=B765</f>
        <v/>
      </c>
    </row>
    <row r="766">
      <c r="A766" s="8" t="inlineStr">
        <is>
          <t>bài 16</t>
        </is>
      </c>
      <c r="B766" s="11" t="inlineStr">
        <is>
          <t>现状</t>
        </is>
      </c>
      <c r="C766" s="8">
        <f>pinyin(B766)</f>
        <v/>
      </c>
      <c r="D766" s="8" t="inlineStr">
        <is>
          <t>目前的情况</t>
        </is>
      </c>
      <c r="E766" s="8">
        <f>IFERROR(__xludf.DUMMYFUNCTION("GOOGLETRANSLATE(B766, ""zh"", ""vi"")"),"hiện trạng")</f>
        <v/>
      </c>
      <c r="F766" s="8" t="inlineStr">
        <is>
          <t>我们必须面对当前的现状。</t>
        </is>
      </c>
      <c r="H766" s="9">
        <f>G766=B766</f>
        <v/>
      </c>
    </row>
    <row r="767">
      <c r="A767" s="8" t="inlineStr">
        <is>
          <t>bài 16</t>
        </is>
      </c>
      <c r="B767" s="11" t="inlineStr">
        <is>
          <t>识别</t>
        </is>
      </c>
      <c r="C767" s="8">
        <f>pinyin(B767)</f>
        <v/>
      </c>
      <c r="D767" s="8" t="inlineStr">
        <is>
          <t>辨别和认出</t>
        </is>
      </c>
      <c r="E767" s="8">
        <f>IFERROR(__xludf.DUMMYFUNCTION("GOOGLETRANSLATE(B767, ""zh"", ""vi"")"),"Nhận dạng")</f>
        <v/>
      </c>
      <c r="F767" s="8" t="inlineStr">
        <is>
          <t>警察很快识别出了嫌疑人。</t>
        </is>
      </c>
      <c r="H767" s="9">
        <f>G767=B767</f>
        <v/>
      </c>
    </row>
    <row r="768">
      <c r="A768" s="8" t="inlineStr">
        <is>
          <t>bài 16</t>
        </is>
      </c>
      <c r="B768" s="11" t="inlineStr">
        <is>
          <t>来历</t>
        </is>
      </c>
      <c r="C768" s="8">
        <f>pinyin(B768)</f>
        <v/>
      </c>
      <c r="D768" s="8" t="inlineStr">
        <is>
          <t>事情的来源和经过</t>
        </is>
      </c>
      <c r="E768" s="8">
        <f>IFERROR(__xludf.DUMMYFUNCTION("GOOGLETRANSLATE(B768, ""zh"", ""vi"")"),"nguồn gốc")</f>
        <v/>
      </c>
      <c r="F768" s="8" t="inlineStr">
        <is>
          <t>你知道这件事情的来历吗？</t>
        </is>
      </c>
      <c r="H768" s="9">
        <f>G768=B768</f>
        <v/>
      </c>
    </row>
    <row r="769">
      <c r="A769" s="8" t="inlineStr">
        <is>
          <t>bài 16</t>
        </is>
      </c>
      <c r="B769" s="11" t="inlineStr">
        <is>
          <t>苦涩</t>
        </is>
      </c>
      <c r="C769" s="8">
        <f>pinyin(B769)</f>
        <v/>
      </c>
      <c r="D769" s="8" t="inlineStr">
        <is>
          <t>又苦又涩的味道，心里难受</t>
        </is>
      </c>
      <c r="E769" s="8">
        <f>IFERROR(__xludf.DUMMYFUNCTION("GOOGLETRANSLATE(B769, ""zh"", ""vi"")"),"vị đắng")</f>
        <v/>
      </c>
      <c r="F769" s="8" t="inlineStr">
        <is>
          <t>他的脸上露出苦涩的笑容。</t>
        </is>
      </c>
      <c r="H769" s="9">
        <f>G769=B769</f>
        <v/>
      </c>
    </row>
    <row r="770">
      <c r="A770" s="8" t="inlineStr">
        <is>
          <t>bài 16</t>
        </is>
      </c>
      <c r="B770" s="11" t="inlineStr">
        <is>
          <t>指望</t>
        </is>
      </c>
      <c r="C770" s="8">
        <f>pinyin(B770)</f>
        <v/>
      </c>
      <c r="D770" s="8" t="inlineStr">
        <is>
          <t>盼望、依靠</t>
        </is>
      </c>
      <c r="E770" s="8">
        <f>IFERROR(__xludf.DUMMYFUNCTION("GOOGLETRANSLATE(B770, ""zh"", ""vi"")"),"Mong")</f>
        <v/>
      </c>
      <c r="F770" s="8" t="inlineStr">
        <is>
          <t>别指望别人帮你，一切要靠自己。</t>
        </is>
      </c>
      <c r="H770" s="9">
        <f>G770=B770</f>
        <v/>
      </c>
    </row>
    <row r="771">
      <c r="A771" s="8" t="inlineStr">
        <is>
          <t>bài 16</t>
        </is>
      </c>
      <c r="B771" s="11" t="inlineStr">
        <is>
          <t>空白</t>
        </is>
      </c>
      <c r="C771" s="8">
        <f>pinyin(B771)</f>
        <v/>
      </c>
      <c r="D771" s="8" t="inlineStr">
        <is>
          <t>空缺、空无一物的部分</t>
        </is>
      </c>
      <c r="E771" s="8">
        <f>IFERROR(__xludf.DUMMYFUNCTION("GOOGLETRANSLATE(B771, ""zh"", ""vi"")"),"trống")</f>
        <v/>
      </c>
      <c r="F771" s="8" t="inlineStr">
        <is>
          <t>他的大脑一片空白，什么也想不起来。</t>
        </is>
      </c>
      <c r="H771" s="9">
        <f>G771=B771</f>
        <v/>
      </c>
    </row>
    <row r="772">
      <c r="A772" s="8" t="inlineStr">
        <is>
          <t>bài 16</t>
        </is>
      </c>
      <c r="B772" s="11" t="inlineStr">
        <is>
          <t>琢磨</t>
        </is>
      </c>
      <c r="C772" s="8">
        <f>pinyin(B772)</f>
        <v/>
      </c>
      <c r="D772" s="8" t="inlineStr">
        <is>
          <t>反复思考、仔细琢磨</t>
        </is>
      </c>
      <c r="E772" s="8">
        <f>IFERROR(__xludf.DUMMYFUNCTION("GOOGLETRANSLATE(B772, ""zh"", ""vi"")"),"suy ngẫm")</f>
        <v/>
      </c>
      <c r="F772" s="8" t="inlineStr">
        <is>
          <t>这个问题我需要好好琢磨一下。</t>
        </is>
      </c>
      <c r="H772" s="9">
        <f>G772=B772</f>
        <v/>
      </c>
    </row>
    <row r="773">
      <c r="A773" s="8" t="inlineStr">
        <is>
          <t>bài 16</t>
        </is>
      </c>
      <c r="B773" s="11" t="inlineStr">
        <is>
          <t>昼夜</t>
        </is>
      </c>
      <c r="C773" s="8">
        <f>pinyin(B773)</f>
        <v/>
      </c>
      <c r="D773" s="8" t="inlineStr">
        <is>
          <t>白天和黑夜</t>
        </is>
      </c>
      <c r="E773" s="8">
        <f>IFERROR(__xludf.DUMMYFUNCTION("GOOGLETRANSLATE(B773, ""zh"", ""vi"")"),"ngày và đêm")</f>
        <v/>
      </c>
      <c r="F773" s="8" t="inlineStr">
        <is>
          <t>他昼夜不停地工作。</t>
        </is>
      </c>
      <c r="H773" s="9">
        <f>G773=B773</f>
        <v/>
      </c>
    </row>
    <row r="774">
      <c r="A774" s="8" t="inlineStr">
        <is>
          <t>bài 16</t>
        </is>
      </c>
      <c r="B774" s="11" t="inlineStr">
        <is>
          <t>奔波</t>
        </is>
      </c>
      <c r="C774" s="8">
        <f>pinyin(B774)</f>
        <v/>
      </c>
      <c r="D774" s="8" t="inlineStr">
        <is>
          <t>到处奔走忙碌</t>
        </is>
      </c>
      <c r="E774" s="8">
        <f>IFERROR(__xludf.DUMMYFUNCTION("GOOGLETRANSLATE(B774, ""zh"", ""vi"")"),"Bận")</f>
        <v/>
      </c>
      <c r="F774" s="8" t="inlineStr">
        <is>
          <t>他整天为生计奔波。</t>
        </is>
      </c>
      <c r="H774" s="9">
        <f>G774=B774</f>
        <v/>
      </c>
    </row>
    <row r="775">
      <c r="A775" s="8" t="inlineStr">
        <is>
          <t>bài 16</t>
        </is>
      </c>
      <c r="B775" s="11" t="inlineStr">
        <is>
          <t>渴望</t>
        </is>
      </c>
      <c r="C775" s="8">
        <f>pinyin(B775)</f>
        <v/>
      </c>
      <c r="D775" s="8" t="inlineStr">
        <is>
          <t>非常希望、强烈想要</t>
        </is>
      </c>
      <c r="E775" s="8">
        <f>IFERROR(__xludf.DUMMYFUNCTION("GOOGLETRANSLATE(B775, ""zh"", ""vi"")"),"háo hức")</f>
        <v/>
      </c>
      <c r="F775" s="8" t="inlineStr">
        <is>
          <t>孩子们都渴望得到父母的陪伴。</t>
        </is>
      </c>
      <c r="H775" s="9">
        <f>G775=B775</f>
        <v/>
      </c>
    </row>
    <row r="776">
      <c r="A776" s="8" t="inlineStr">
        <is>
          <t>bài 17</t>
        </is>
      </c>
      <c r="B776" s="11" t="inlineStr">
        <is>
          <t>场面</t>
        </is>
      </c>
      <c r="C776" s="8">
        <f>pinyin(B776)</f>
        <v/>
      </c>
      <c r="D776" s="8" t="inlineStr">
        <is>
          <t>指某个场景或情况（多用于热闹、特殊或战斗等场面）</t>
        </is>
      </c>
      <c r="E776" s="8">
        <f>IFERROR(__xludf.DUMMYFUNCTION("GOOGLETRANSLATE(B776, ""zh"", ""vi"")"),"bối cảnh")</f>
        <v/>
      </c>
      <c r="F776" s="8" t="inlineStr">
        <is>
          <t>战斗场面非常激烈，大家都紧张地看着。</t>
        </is>
      </c>
      <c r="H776" s="9">
        <f>G776=B776</f>
        <v/>
      </c>
    </row>
    <row r="777">
      <c r="A777" s="8" t="inlineStr">
        <is>
          <t>bài 17</t>
        </is>
      </c>
      <c r="B777" s="11" t="inlineStr">
        <is>
          <t>端</t>
        </is>
      </c>
      <c r="C777" s="8">
        <f>pinyin(B777)</f>
        <v/>
      </c>
      <c r="D777" s="8" t="inlineStr">
        <is>
          <t>用双手平端东西（如端盘子、端饭）</t>
        </is>
      </c>
      <c r="E777" s="8">
        <f>IFERROR(__xludf.DUMMYFUNCTION("GOOGLETRANSLATE(B777, ""zh"", ""vi"")"),"kết thúc")</f>
        <v/>
      </c>
      <c r="F777" s="8" t="inlineStr">
        <is>
          <t>服务员端着盘子走过来。</t>
        </is>
      </c>
      <c r="H777" s="9">
        <f>G777=B777</f>
        <v/>
      </c>
    </row>
    <row r="778">
      <c r="A778" s="8" t="inlineStr">
        <is>
          <t>bài 17</t>
        </is>
      </c>
      <c r="B778" s="11" t="inlineStr">
        <is>
          <t>盛</t>
        </is>
      </c>
      <c r="C778" s="8">
        <f>pinyin(B778)</f>
        <v/>
      </c>
      <c r="D778" s="8" t="inlineStr">
        <is>
          <t>往碗里或盘子里装饭、汤、菜等</t>
        </is>
      </c>
      <c r="E778" s="8">
        <f>IFERROR(__xludf.DUMMYFUNCTION("GOOGLETRANSLATE(B778, ""zh"", ""vi"")"),"Sheng")</f>
        <v/>
      </c>
      <c r="F778" s="8" t="inlineStr">
        <is>
          <t>妈妈给我盛了一碗汤。</t>
        </is>
      </c>
      <c r="H778" s="9">
        <f>G778=B778</f>
        <v/>
      </c>
    </row>
    <row r="779">
      <c r="A779" s="8" t="inlineStr">
        <is>
          <t>bài 17</t>
        </is>
      </c>
      <c r="B779" s="11" t="inlineStr">
        <is>
          <t>东张西望</t>
        </is>
      </c>
      <c r="C779" s="8">
        <f>pinyin(B779)</f>
        <v/>
      </c>
      <c r="D779" s="8" t="inlineStr">
        <is>
          <t>到处张望、左顾右盼（常表示好奇或警惕）</t>
        </is>
      </c>
      <c r="E779" s="8">
        <f>IFERROR(__xludf.DUMMYFUNCTION("GOOGLETRANSLATE(B779, ""zh"", ""vi"")"),"Nhìn xung quanh")</f>
        <v/>
      </c>
      <c r="F779" s="8" t="inlineStr">
        <is>
          <t>小偷在街上东张西望。</t>
        </is>
      </c>
      <c r="H779" s="9">
        <f>G779=B779</f>
        <v/>
      </c>
    </row>
    <row r="780">
      <c r="A780" s="8" t="inlineStr">
        <is>
          <t>bài 17</t>
        </is>
      </c>
      <c r="B780" s="11" t="inlineStr">
        <is>
          <t>企图</t>
        </is>
      </c>
      <c r="C780" s="8">
        <f>pinyin(B780)</f>
        <v/>
      </c>
      <c r="D780" s="8" t="inlineStr">
        <is>
          <t>试图做某事（常含贬义，指不好的打算）</t>
        </is>
      </c>
      <c r="E780" s="8">
        <f>IFERROR(__xludf.DUMMYFUNCTION("GOOGLETRANSLATE(B780, ""zh"", ""vi"")"),"nỗ lực")</f>
        <v/>
      </c>
      <c r="F780" s="8" t="inlineStr">
        <is>
          <t>他企图偷钱包，被警察抓住了。</t>
        </is>
      </c>
      <c r="H780" s="9">
        <f>G780=B780</f>
        <v/>
      </c>
    </row>
    <row r="781">
      <c r="A781" s="8" t="inlineStr">
        <is>
          <t>bài 17</t>
        </is>
      </c>
      <c r="B781" s="11" t="inlineStr">
        <is>
          <t>动手</t>
        </is>
      </c>
      <c r="C781" s="8">
        <f>pinyin(B781)</f>
        <v/>
      </c>
      <c r="D781" s="8" t="inlineStr">
        <is>
          <t>开始动手做某事，或动手打人</t>
        </is>
      </c>
      <c r="E781" s="8">
        <f>IFERROR(__xludf.DUMMYFUNCTION("GOOGLETRANSLATE(B781, ""zh"", ""vi"")"),"Hãy hành động")</f>
        <v/>
      </c>
      <c r="F781" s="8" t="inlineStr">
        <is>
          <t>我动手打苍蝇，却没打中。</t>
        </is>
      </c>
      <c r="H781" s="9">
        <f>G781=B781</f>
        <v/>
      </c>
    </row>
    <row r="782">
      <c r="A782" s="8" t="inlineStr">
        <is>
          <t>bài 17</t>
        </is>
      </c>
      <c r="B782" s="11" t="inlineStr">
        <is>
          <t>纳闷儿</t>
        </is>
      </c>
      <c r="C782" s="8">
        <f>pinyin(B782)</f>
        <v/>
      </c>
      <c r="D782" s="8" t="inlineStr">
        <is>
          <t>心里疑惑、觉得奇怪、不明白原因</t>
        </is>
      </c>
      <c r="E782" s="8">
        <f>IFERROR(__xludf.DUMMYFUNCTION("GOOGLETRANSLATE(B782, ""zh"", ""vi"")"),"Bối rối")</f>
        <v/>
      </c>
      <c r="F782" s="8" t="inlineStr">
        <is>
          <t>我一直纳闷儿，他为什么突然不联系我了。</t>
        </is>
      </c>
      <c r="H782" s="9">
        <f>G782=B782</f>
        <v/>
      </c>
    </row>
    <row r="783">
      <c r="A783" s="8" t="inlineStr">
        <is>
          <t>bài 17</t>
        </is>
      </c>
      <c r="B783" s="11" t="inlineStr">
        <is>
          <t>能量</t>
        </is>
      </c>
      <c r="C783" s="8">
        <f>pinyin(B783)</f>
        <v/>
      </c>
      <c r="D783" s="8" t="inlineStr">
        <is>
          <t>能量（物理或生物体所需的力量）</t>
        </is>
      </c>
      <c r="E783" s="8">
        <f>IFERROR(__xludf.DUMMYFUNCTION("GOOGLETRANSLATE(B783, ""zh"", ""vi"")"),"năng lượng")</f>
        <v/>
      </c>
      <c r="F783" s="8" t="inlineStr">
        <is>
          <t>运动员需要很多能量才能跑完马拉松。</t>
        </is>
      </c>
      <c r="H783" s="9">
        <f>G783=B783</f>
        <v/>
      </c>
    </row>
    <row r="784">
      <c r="A784" s="8" t="inlineStr">
        <is>
          <t>bài 17</t>
        </is>
      </c>
      <c r="B784" s="11" t="inlineStr">
        <is>
          <t>论证</t>
        </is>
      </c>
      <c r="C784" s="8">
        <f>pinyin(B784)</f>
        <v/>
      </c>
      <c r="D784" s="8" t="inlineStr">
        <is>
          <t>用理由证明某个观点或结论</t>
        </is>
      </c>
      <c r="E784" s="8">
        <f>IFERROR(__xludf.DUMMYFUNCTION("GOOGLETRANSLATE(B784, ""zh"", ""vi"")"),"Lý lẽ")</f>
        <v/>
      </c>
      <c r="F784" s="8" t="inlineStr">
        <is>
          <t>科学家正在论证这个新理论。</t>
        </is>
      </c>
      <c r="H784" s="9">
        <f>G784=B784</f>
        <v/>
      </c>
    </row>
    <row r="785">
      <c r="A785" s="8" t="inlineStr">
        <is>
          <t>bài 17</t>
        </is>
      </c>
      <c r="B785" s="11" t="inlineStr">
        <is>
          <t>筛选</t>
        </is>
      </c>
      <c r="C785" s="8">
        <f>pinyin(B785)</f>
        <v/>
      </c>
      <c r="D785" s="8" t="inlineStr">
        <is>
          <t>仔细挑选、过滤（从很多中选出好的）</t>
        </is>
      </c>
      <c r="E785" s="8">
        <f>IFERROR(__xludf.DUMMYFUNCTION("GOOGLETRANSLATE(B785, ""zh"", ""vi"")"),"lọc")</f>
        <v/>
      </c>
      <c r="F785" s="8" t="inlineStr">
        <is>
          <t>公司对简历进行了严格筛选。</t>
        </is>
      </c>
      <c r="H785" s="9">
        <f>G785=B785</f>
        <v/>
      </c>
    </row>
    <row r="786">
      <c r="A786" s="8" t="inlineStr">
        <is>
          <t>bài 17</t>
        </is>
      </c>
      <c r="B786" s="11" t="inlineStr">
        <is>
          <t>标记</t>
        </is>
      </c>
      <c r="C786" s="8">
        <f>pinyin(B786)</f>
        <v/>
      </c>
      <c r="D786" s="8" t="inlineStr">
        <is>
          <t>做记号、标注出来</t>
        </is>
      </c>
      <c r="E786" s="8">
        <f>IFERROR(__xludf.DUMMYFUNCTION("GOOGLETRANSLATE(B786, ""zh"", ""vi"")"),"đánh dấu")</f>
        <v/>
      </c>
      <c r="F786" s="8" t="inlineStr">
        <is>
          <t>在地图上标记一下我们的位置。</t>
        </is>
      </c>
      <c r="H786" s="9">
        <f>G786=B786</f>
        <v/>
      </c>
    </row>
    <row r="787">
      <c r="A787" s="8" t="inlineStr">
        <is>
          <t>bài 17</t>
        </is>
      </c>
      <c r="B787" s="11" t="inlineStr">
        <is>
          <t>名次</t>
        </is>
      </c>
      <c r="C787" s="8">
        <f>pinyin(B787)</f>
        <v/>
      </c>
      <c r="D787" s="8" t="inlineStr">
        <is>
          <t>排名、名次顺序</t>
        </is>
      </c>
      <c r="E787" s="8">
        <f>IFERROR(__xludf.DUMMYFUNCTION("GOOGLETRANSLATE(B787, ""zh"", ""vi"")"),"Thứ hạng")</f>
        <v/>
      </c>
      <c r="F787" s="8" t="inlineStr">
        <is>
          <t>他在班里考试名次很高。</t>
        </is>
      </c>
      <c r="H787" s="9">
        <f>G787=B787</f>
        <v/>
      </c>
    </row>
    <row r="788">
      <c r="A788" s="8" t="inlineStr">
        <is>
          <t>bài 17</t>
        </is>
      </c>
      <c r="B788" s="11" t="inlineStr">
        <is>
          <t>感慨</t>
        </is>
      </c>
      <c r="C788" s="8">
        <f>pinyin(B788)</f>
        <v/>
      </c>
      <c r="D788" s="8" t="inlineStr">
        <is>
          <t>有感而发、深有感触地叹息</t>
        </is>
      </c>
      <c r="E788" s="8">
        <f>IFERROR(__xludf.DUMMYFUNCTION("GOOGLETRANSLATE(B788, ""zh"", ""vi"")"),"Cảm giác")</f>
        <v/>
      </c>
      <c r="F788" s="8" t="inlineStr">
        <is>
          <t>看到家乡的变化，他感慨万千。</t>
        </is>
      </c>
      <c r="H788" s="9">
        <f>G788=B788</f>
        <v/>
      </c>
    </row>
    <row r="789">
      <c r="A789" s="8" t="inlineStr">
        <is>
          <t>bài 17</t>
        </is>
      </c>
      <c r="B789" s="11" t="inlineStr">
        <is>
          <t>渺小</t>
        </is>
      </c>
      <c r="C789" s="8">
        <f>pinyin(B789)</f>
        <v/>
      </c>
      <c r="D789" s="8" t="inlineStr">
        <is>
          <t>非常微小、微不足道（与宏大对比）</t>
        </is>
      </c>
      <c r="E789" s="8">
        <f>IFERROR(__xludf.DUMMYFUNCTION("GOOGLETRANSLATE(B789, ""zh"", ""vi"")"),"Không đáng kể")</f>
        <v/>
      </c>
      <c r="F789" s="8" t="inlineStr">
        <is>
          <t>在宇宙面前，人类显得非常渺小。</t>
        </is>
      </c>
      <c r="H789" s="9">
        <f>G789=B789</f>
        <v/>
      </c>
    </row>
    <row r="790">
      <c r="A790" s="8" t="inlineStr">
        <is>
          <t>bài 17</t>
        </is>
      </c>
      <c r="B790" s="11" t="inlineStr">
        <is>
          <t>姑且</t>
        </is>
      </c>
      <c r="C790" s="8">
        <f>pinyin(B790)</f>
        <v/>
      </c>
      <c r="D790" s="8" t="inlineStr">
        <is>
          <t>暂且、暂时这样（有让步、勉强之意）</t>
        </is>
      </c>
      <c r="E790" s="8">
        <f>IFERROR(__xludf.DUMMYFUNCTION("GOOGLETRANSLATE(B790, ""zh"", ""vi"")"),"tạm thời")</f>
        <v/>
      </c>
      <c r="F790" s="8" t="inlineStr">
        <is>
          <t>你姑且先试试这个办法吧。</t>
        </is>
      </c>
      <c r="H790" s="9">
        <f>G790=B790</f>
        <v/>
      </c>
    </row>
    <row r="791">
      <c r="A791" s="8" t="inlineStr">
        <is>
          <t>bài 17</t>
        </is>
      </c>
      <c r="B791" s="11" t="inlineStr">
        <is>
          <t>文雅</t>
        </is>
      </c>
      <c r="C791" s="8">
        <f>pinyin(B791)</f>
        <v/>
      </c>
      <c r="D791" s="8" t="inlineStr">
        <is>
          <t>优雅、文雅、有文化气质</t>
        </is>
      </c>
      <c r="E791" s="8">
        <f>IFERROR(__xludf.DUMMYFUNCTION("GOOGLETRANSLATE(B791, ""zh"", ""vi"")"),"thanh lịch")</f>
        <v/>
      </c>
      <c r="F791" s="8" t="inlineStr">
        <is>
          <t>她的举止非常文雅。</t>
        </is>
      </c>
      <c r="H791" s="9">
        <f>G791=B791</f>
        <v/>
      </c>
    </row>
    <row r="792">
      <c r="A792" s="8" t="inlineStr">
        <is>
          <t>bài 17</t>
        </is>
      </c>
      <c r="B792" s="11" t="inlineStr">
        <is>
          <t>犬</t>
        </is>
      </c>
      <c r="C792" s="8">
        <f>pinyin(B792)</f>
        <v/>
      </c>
      <c r="D792" s="8" t="inlineStr">
        <is>
          <t>狗的文雅说法</t>
        </is>
      </c>
      <c r="E792" s="8">
        <f>IFERROR(__xludf.DUMMYFUNCTION("GOOGLETRANSLATE(B792, ""zh"", ""vi"")"),"chó")</f>
        <v/>
      </c>
      <c r="F792" s="8" t="inlineStr">
        <is>
          <t>我们姑且用“犬”这个文雅的称呼。</t>
        </is>
      </c>
      <c r="H792" s="9">
        <f>G792=B792</f>
        <v/>
      </c>
    </row>
    <row r="793">
      <c r="A793" s="8" t="inlineStr">
        <is>
          <t>bài 17</t>
        </is>
      </c>
      <c r="B793" s="11" t="inlineStr">
        <is>
          <t>系列</t>
        </is>
      </c>
      <c r="C793" s="8">
        <f>pinyin(B793)</f>
        <v/>
      </c>
      <c r="D793" s="8" t="inlineStr">
        <is>
          <t>一系列、成套的</t>
        </is>
      </c>
      <c r="E793" s="8">
        <f>IFERROR(__xludf.DUMMYFUNCTION("GOOGLETRANSLATE(B793, ""zh"", ""vi"")"),"loạt")</f>
        <v/>
      </c>
      <c r="F793" s="8" t="inlineStr">
        <is>
          <t>这家公司推出了一系列新产品。</t>
        </is>
      </c>
      <c r="H793" s="9">
        <f>G793=B793</f>
        <v/>
      </c>
    </row>
    <row r="794">
      <c r="A794" s="8" t="inlineStr">
        <is>
          <t>bài 17</t>
        </is>
      </c>
      <c r="B794" s="11" t="inlineStr">
        <is>
          <t>推论</t>
        </is>
      </c>
      <c r="C794" s="8">
        <f>pinyin(B794)</f>
        <v/>
      </c>
      <c r="D794" s="8" t="inlineStr">
        <is>
          <t>根据已知推断出结论</t>
        </is>
      </c>
      <c r="E794" s="8">
        <f>IFERROR(__xludf.DUMMYFUNCTION("GOOGLETRANSLATE(B794, ""zh"", ""vi"")"),"suy luận")</f>
        <v/>
      </c>
      <c r="F794" s="8" t="inlineStr">
        <is>
          <t>科学家推论这个结果与新陈代谢有关。</t>
        </is>
      </c>
      <c r="H794" s="9">
        <f>G794=B794</f>
        <v/>
      </c>
    </row>
    <row r="795">
      <c r="A795" s="8" t="inlineStr">
        <is>
          <t>bài 17</t>
        </is>
      </c>
      <c r="B795" s="11" t="inlineStr">
        <is>
          <t>本身</t>
        </is>
      </c>
      <c r="C795" s="8">
        <f>pinyin(B795)</f>
        <v/>
      </c>
      <c r="D795" s="8" t="inlineStr">
        <is>
          <t>自身、它自己</t>
        </is>
      </c>
      <c r="E795" s="8">
        <f>IFERROR(__xludf.DUMMYFUNCTION("GOOGLETRANSLATE(B795, ""zh"", ""vi"")"),"chính nó")</f>
        <v/>
      </c>
      <c r="F795" s="8" t="inlineStr">
        <is>
          <t>这个问题要从事情本身去找原因。</t>
        </is>
      </c>
      <c r="H795" s="9">
        <f>G795=B795</f>
        <v/>
      </c>
    </row>
    <row r="796">
      <c r="A796" s="8" t="inlineStr">
        <is>
          <t>bài 17</t>
        </is>
      </c>
      <c r="B796" s="11" t="inlineStr">
        <is>
          <t>新陈代谢</t>
        </is>
      </c>
      <c r="C796" s="8">
        <f>pinyin(B796)</f>
        <v/>
      </c>
      <c r="D796" s="8" t="inlineStr">
        <is>
          <t>新陈代谢（生物体更新替换的过程）</t>
        </is>
      </c>
      <c r="E796" s="8">
        <f>IFERROR(__xludf.DUMMYFUNCTION("GOOGLETRANSLATE(B796, ""zh"", ""vi"")"),"Chuyển hóa")</f>
        <v/>
      </c>
      <c r="F796" s="8" t="inlineStr">
        <is>
          <t>年轻人新陈代谢比较快。</t>
        </is>
      </c>
      <c r="H796" s="9">
        <f>G796=B796</f>
        <v/>
      </c>
    </row>
    <row r="797">
      <c r="A797" s="8" t="inlineStr">
        <is>
          <t>bài 17</t>
        </is>
      </c>
      <c r="B797" s="11" t="inlineStr">
        <is>
          <t>跳跃</t>
        </is>
      </c>
      <c r="C797" s="8">
        <f>pinyin(B797)</f>
        <v/>
      </c>
      <c r="D797" s="8" t="inlineStr">
        <is>
          <t>跳起来、跳跃动作</t>
        </is>
      </c>
      <c r="E797" s="8">
        <f>IFERROR(__xludf.DUMMYFUNCTION("GOOGLETRANSLATE(B797, ""zh"", ""vi"")"),"nhảy")</f>
        <v/>
      </c>
      <c r="F797" s="8" t="inlineStr">
        <is>
          <t>猫一下子跳跃起来抓住了苍蝇。</t>
        </is>
      </c>
      <c r="H797" s="9">
        <f>G797=B797</f>
        <v/>
      </c>
    </row>
    <row r="798">
      <c r="A798" s="8" t="inlineStr">
        <is>
          <t>bài 17</t>
        </is>
      </c>
      <c r="B798" s="11" t="inlineStr">
        <is>
          <t>瞄准</t>
        </is>
      </c>
      <c r="C798" s="8">
        <f>pinyin(B798)</f>
        <v/>
      </c>
      <c r="D798" s="8" t="inlineStr">
        <is>
          <t>对准目标看准</t>
        </is>
      </c>
      <c r="E798" s="8">
        <f>IFERROR(__xludf.DUMMYFUNCTION("GOOGLETRANSLATE(B798, ""zh"", ""vi"")"),"mục tiêu")</f>
        <v/>
      </c>
      <c r="F798" s="8" t="inlineStr">
        <is>
          <t>他瞄准目标后才射击。</t>
        </is>
      </c>
      <c r="H798" s="9">
        <f>G798=B798</f>
        <v/>
      </c>
    </row>
    <row r="799">
      <c r="A799" s="8" t="inlineStr">
        <is>
          <t>bài 17</t>
        </is>
      </c>
      <c r="B799" s="11" t="inlineStr">
        <is>
          <t>鸽子</t>
        </is>
      </c>
      <c r="C799" s="8">
        <f>pinyin(B799)</f>
        <v/>
      </c>
      <c r="D799" s="8" t="inlineStr">
        <is>
          <t>鸽子</t>
        </is>
      </c>
      <c r="E799" s="8">
        <f>IFERROR(__xludf.DUMMYFUNCTION("GOOGLETRANSLATE(B799, ""zh"", ""vi"")"),"Chim bồ câu")</f>
        <v/>
      </c>
      <c r="F799" s="8" t="inlineStr">
        <is>
          <t>广场上有很多鸽子。</t>
        </is>
      </c>
      <c r="H799" s="9">
        <f>G799=B799</f>
        <v/>
      </c>
    </row>
    <row r="800">
      <c r="A800" s="8" t="inlineStr">
        <is>
          <t>bài 17</t>
        </is>
      </c>
      <c r="B800" s="11" t="inlineStr">
        <is>
          <t>视线</t>
        </is>
      </c>
      <c r="C800" s="8">
        <f>pinyin(B800)</f>
        <v/>
      </c>
      <c r="D800" s="8" t="inlineStr">
        <is>
          <t>视线、目光所能看到的地方</t>
        </is>
      </c>
      <c r="E800" s="8">
        <f>IFERROR(__xludf.DUMMYFUNCTION("GOOGLETRANSLATE(B800, ""zh"", ""vi"")"),"tầm nhìn")</f>
        <v/>
      </c>
      <c r="F800" s="8" t="inlineStr">
        <is>
          <t>大树挡住了我的视线。</t>
        </is>
      </c>
      <c r="H800" s="9">
        <f>G800=B800</f>
        <v/>
      </c>
    </row>
    <row r="801">
      <c r="A801" s="8" t="inlineStr">
        <is>
          <t>bài 17</t>
        </is>
      </c>
      <c r="B801" s="11" t="inlineStr">
        <is>
          <t>周边</t>
        </is>
      </c>
      <c r="C801" s="8">
        <f>pinyin(B801)</f>
        <v/>
      </c>
      <c r="D801" s="8" t="inlineStr">
        <is>
          <t>周围、附近地区</t>
        </is>
      </c>
      <c r="E801" s="8">
        <f>IFERROR(__xludf.DUMMYFUNCTION("GOOGLETRANSLATE(B801, ""zh"", ""vi"")"),"Khu vực xung quanh")</f>
        <v/>
      </c>
      <c r="F801" s="8" t="inlineStr">
        <is>
          <t>上海周边有很多旅游景点。</t>
        </is>
      </c>
      <c r="H801" s="9">
        <f>G801=B801</f>
        <v/>
      </c>
    </row>
    <row r="802">
      <c r="A802" s="8" t="inlineStr">
        <is>
          <t>bài 17</t>
        </is>
      </c>
      <c r="B802" s="11" t="inlineStr">
        <is>
          <t>颤抖</t>
        </is>
      </c>
      <c r="C802" s="8">
        <f>pinyin(B802)</f>
        <v/>
      </c>
      <c r="D802" s="8" t="inlineStr">
        <is>
          <t>发抖、颤抖（因冷、怕或激动）</t>
        </is>
      </c>
      <c r="E802" s="8">
        <f>IFERROR(__xludf.DUMMYFUNCTION("GOOGLETRANSLATE(B802, ""zh"", ""vi"")"),"Run rẩy")</f>
        <v/>
      </c>
      <c r="F802" s="8" t="inlineStr">
        <is>
          <t>她冷得全身颤抖。</t>
        </is>
      </c>
      <c r="H802" s="9">
        <f>G802=B802</f>
        <v/>
      </c>
    </row>
    <row r="803">
      <c r="A803" s="8" t="inlineStr">
        <is>
          <t>bài 17</t>
        </is>
      </c>
      <c r="B803" s="11" t="inlineStr">
        <is>
          <t>确切</t>
        </is>
      </c>
      <c r="C803" s="8">
        <f>pinyin(B803)</f>
        <v/>
      </c>
      <c r="D803" s="8" t="inlineStr">
        <is>
          <t>准确、确切、明确</t>
        </is>
      </c>
      <c r="E803" s="8">
        <f>IFERROR(__xludf.DUMMYFUNCTION("GOOGLETRANSLATE(B803, ""zh"", ""vi"")"),"chính xác")</f>
        <v/>
      </c>
      <c r="F803" s="8" t="inlineStr">
        <is>
          <t>请告诉我确切的时间。</t>
        </is>
      </c>
      <c r="H803" s="9">
        <f>G803=B803</f>
        <v/>
      </c>
    </row>
    <row r="804">
      <c r="A804" s="8" t="inlineStr">
        <is>
          <t>bài 17</t>
        </is>
      </c>
      <c r="B804" s="11" t="inlineStr">
        <is>
          <t>迟钝</t>
        </is>
      </c>
      <c r="C804" s="8">
        <f>pinyin(B804)</f>
        <v/>
      </c>
      <c r="D804" s="8" t="inlineStr">
        <is>
          <t>反应慢、不灵敏</t>
        </is>
      </c>
      <c r="E804" s="8">
        <f>IFERROR(__xludf.DUMMYFUNCTION("GOOGLETRANSLATE(B804, ""zh"", ""vi"")"),"chậm")</f>
        <v/>
      </c>
      <c r="F804" s="8" t="inlineStr">
        <is>
          <t>他年纪大了，反应有点迟钝。</t>
        </is>
      </c>
      <c r="H804" s="9">
        <f>G804=B804</f>
        <v/>
      </c>
    </row>
    <row r="805">
      <c r="A805" s="8" t="inlineStr">
        <is>
          <t>bài 17</t>
        </is>
      </c>
      <c r="B805" s="11" t="inlineStr">
        <is>
          <t>庞大</t>
        </is>
      </c>
      <c r="C805" s="8">
        <f>pinyin(B805)</f>
        <v/>
      </c>
      <c r="D805" s="8" t="inlineStr">
        <is>
          <t>非常巨大、庞大</t>
        </is>
      </c>
      <c r="E805" s="8">
        <f>IFERROR(__xludf.DUMMYFUNCTION("GOOGLETRANSLATE(B805, ""zh"", ""vi"")"),"to lớn")</f>
        <v/>
      </c>
      <c r="F805" s="8" t="inlineStr">
        <is>
          <t>这个工程的规模非常庞大。</t>
        </is>
      </c>
      <c r="H805" s="9">
        <f>G805=B805</f>
        <v/>
      </c>
    </row>
    <row r="806">
      <c r="A806" s="8" t="inlineStr">
        <is>
          <t>bài 17</t>
        </is>
      </c>
      <c r="B806" s="11" t="inlineStr">
        <is>
          <t>笨拙</t>
        </is>
      </c>
      <c r="C806" s="8">
        <f>pinyin(B806)</f>
        <v/>
      </c>
      <c r="D806" s="8" t="inlineStr">
        <is>
          <t>动作不灵活、笨拙</t>
        </is>
      </c>
      <c r="E806" s="8">
        <f>IFERROR(__xludf.DUMMYFUNCTION("GOOGLETRANSLATE(B806, ""zh"", ""vi"")"),"hậu đậu")</f>
        <v/>
      </c>
      <c r="F806" s="8" t="inlineStr">
        <is>
          <t>小熊走起路来很笨拙。</t>
        </is>
      </c>
      <c r="H806" s="9">
        <f>G806=B806</f>
        <v/>
      </c>
    </row>
    <row r="807">
      <c r="A807" s="8" t="inlineStr">
        <is>
          <t>bài 17</t>
        </is>
      </c>
      <c r="B807" s="11" t="inlineStr">
        <is>
          <t>比方</t>
        </is>
      </c>
      <c r="C807" s="8">
        <f>pinyin(B807)</f>
        <v/>
      </c>
      <c r="D807" s="8" t="inlineStr">
        <is>
          <t>比如、例如</t>
        </is>
      </c>
      <c r="E807" s="8">
        <f>IFERROR(__xludf.DUMMYFUNCTION("GOOGLETRANSLATE(B807, ""zh"", ""vi"")"),"Ví dụ")</f>
        <v/>
      </c>
      <c r="F807" s="8" t="inlineStr">
        <is>
          <t>我喜欢很多运动，比方说足球、篮球。</t>
        </is>
      </c>
      <c r="H807" s="9">
        <f>G807=B807</f>
        <v/>
      </c>
    </row>
    <row r="808">
      <c r="A808" s="8" t="inlineStr">
        <is>
          <t>bài 17</t>
        </is>
      </c>
      <c r="B808" s="11" t="inlineStr">
        <is>
          <t>间隔</t>
        </is>
      </c>
      <c r="C808" s="8">
        <f>pinyin(B808)</f>
        <v/>
      </c>
      <c r="D808" s="8" t="inlineStr">
        <is>
          <t>间隔、距离</t>
        </is>
      </c>
      <c r="E808" s="8">
        <f>IFERROR(__xludf.DUMMYFUNCTION("GOOGLETRANSLATE(B808, ""zh"", ""vi"")"),"khoảng thời gian")</f>
        <v/>
      </c>
      <c r="F808" s="8" t="inlineStr">
        <is>
          <t>两次会议之间间隔了一个月。</t>
        </is>
      </c>
      <c r="H808" s="9">
        <f>G808=B808</f>
        <v/>
      </c>
    </row>
    <row r="809">
      <c r="A809" s="8" t="inlineStr">
        <is>
          <t>bài 17</t>
        </is>
      </c>
      <c r="B809" s="11" t="inlineStr">
        <is>
          <t>闪烁</t>
        </is>
      </c>
      <c r="C809" s="8">
        <f>pinyin(B809)</f>
        <v/>
      </c>
      <c r="D809" s="8" t="inlineStr">
        <is>
          <t>闪烁、忽明忽暗地闪</t>
        </is>
      </c>
      <c r="E809" s="8">
        <f>IFERROR(__xludf.DUMMYFUNCTION("GOOGLETRANSLATE(B809, ""zh"", ""vi"")"),"nhấp nháy")</f>
        <v/>
      </c>
      <c r="F809" s="8" t="inlineStr">
        <is>
          <t>星星在夜空中闪烁。</t>
        </is>
      </c>
      <c r="H809" s="9">
        <f>G809=B809</f>
        <v/>
      </c>
    </row>
    <row r="810">
      <c r="A810" s="8" t="inlineStr">
        <is>
          <t>bài 17</t>
        </is>
      </c>
      <c r="B810" s="11" t="inlineStr">
        <is>
          <t>视力</t>
        </is>
      </c>
      <c r="C810" s="8">
        <f>pinyin(B810)</f>
        <v/>
      </c>
      <c r="D810" s="8" t="inlineStr">
        <is>
          <t>视力、眼睛看东西的能力</t>
        </is>
      </c>
      <c r="E810" s="8">
        <f>IFERROR(__xludf.DUMMYFUNCTION("GOOGLETRANSLATE(B810, ""zh"", ""vi"")"),"tầm nhìn")</f>
        <v/>
      </c>
      <c r="F810" s="8" t="inlineStr">
        <is>
          <t>他的视力越来越差了。</t>
        </is>
      </c>
      <c r="H810" s="9">
        <f>G810=B810</f>
        <v/>
      </c>
    </row>
    <row r="811">
      <c r="A811" s="8" t="inlineStr">
        <is>
          <t>bài 17</t>
        </is>
      </c>
      <c r="B811" s="11" t="inlineStr">
        <is>
          <t>攻击</t>
        </is>
      </c>
      <c r="C811" s="8">
        <f>pinyin(B811)</f>
        <v/>
      </c>
      <c r="D811" s="8" t="inlineStr">
        <is>
          <t>攻击、进攻</t>
        </is>
      </c>
      <c r="E811" s="8">
        <f>IFERROR(__xludf.DUMMYFUNCTION("GOOGLETRANSLATE(B811, ""zh"", ""vi"")"),"tấn công")</f>
        <v/>
      </c>
      <c r="F811" s="8" t="inlineStr">
        <is>
          <t>那个国家攻击了邻国。</t>
        </is>
      </c>
      <c r="H811" s="9">
        <f>G811=B811</f>
        <v/>
      </c>
    </row>
    <row r="812">
      <c r="A812" s="8" t="inlineStr">
        <is>
          <t>bài 17</t>
        </is>
      </c>
      <c r="B812" s="11" t="inlineStr">
        <is>
          <t>势必</t>
        </is>
      </c>
      <c r="C812" s="8">
        <f>pinyin(B812)</f>
        <v/>
      </c>
      <c r="D812" s="8" t="inlineStr">
        <is>
          <t>必然会、一定会（多用于推断结果）</t>
        </is>
      </c>
      <c r="E812" s="8">
        <f>IFERROR(__xludf.DUMMYFUNCTION("GOOGLETRANSLATE(B812, ""zh"", ""vi"")"),"Không thể tránh khỏi")</f>
        <v/>
      </c>
      <c r="F812" s="8" t="inlineStr">
        <is>
          <t>不努力学习，势必会落后。</t>
        </is>
      </c>
      <c r="H812" s="9">
        <f>G812=B812</f>
        <v/>
      </c>
    </row>
    <row r="813">
      <c r="A813" s="8" t="inlineStr">
        <is>
          <t>bài 17</t>
        </is>
      </c>
      <c r="B813" s="11" t="inlineStr">
        <is>
          <t>博大精深</t>
        </is>
      </c>
      <c r="C813" s="8">
        <f>pinyin(B813)</f>
        <v/>
      </c>
      <c r="D813" s="8" t="inlineStr">
        <is>
          <t>博大精深、内容丰富深刻</t>
        </is>
      </c>
      <c r="E813" s="8">
        <f>IFERROR(__xludf.DUMMYFUNCTION("GOOGLETRANSLATE(B813, ""zh"", ""vi"")"),"Sâu")</f>
        <v/>
      </c>
      <c r="F813" s="8" t="inlineStr">
        <is>
          <t>中国文化博大精深。</t>
        </is>
      </c>
      <c r="H813" s="9">
        <f>G813=B813</f>
        <v/>
      </c>
    </row>
    <row r="814">
      <c r="A814" s="8" t="inlineStr">
        <is>
          <t>bài 17</t>
        </is>
      </c>
      <c r="B814" s="11" t="inlineStr">
        <is>
          <t>深奥</t>
        </is>
      </c>
      <c r="C814" s="8">
        <f>pinyin(B814)</f>
        <v/>
      </c>
      <c r="D814" s="8" t="inlineStr">
        <is>
          <t>深奥、难以理解</t>
        </is>
      </c>
      <c r="E814" s="8">
        <f>IFERROR(__xludf.DUMMYFUNCTION("GOOGLETRANSLATE(B814, ""zh"", ""vi"")"),"sâu")</f>
        <v/>
      </c>
      <c r="F814" s="8" t="inlineStr">
        <is>
          <t>这个问题太深奥了，我听不懂。</t>
        </is>
      </c>
      <c r="H814" s="9">
        <f>G814=B814</f>
        <v/>
      </c>
    </row>
    <row r="815">
      <c r="A815" s="8" t="inlineStr">
        <is>
          <t>bài 17</t>
        </is>
      </c>
      <c r="B815" s="11" t="inlineStr">
        <is>
          <t>无能为力</t>
        </is>
      </c>
      <c r="C815" s="8">
        <f>pinyin(B815)</f>
        <v/>
      </c>
      <c r="D815" s="8" t="inlineStr">
        <is>
          <t>无能为力、没有办法</t>
        </is>
      </c>
      <c r="E815" s="8">
        <f>IFERROR(__xludf.DUMMYFUNCTION("GOOGLETRANSLATE(B815, ""zh"", ""vi"")"),"bất lực")</f>
        <v/>
      </c>
      <c r="F815" s="8" t="inlineStr">
        <is>
          <t>面对这种情况，我感到无能为力。</t>
        </is>
      </c>
      <c r="H815" s="9">
        <f>G815=B815</f>
        <v/>
      </c>
    </row>
    <row r="816">
      <c r="A816" s="8" t="inlineStr">
        <is>
          <t>bài 17</t>
        </is>
      </c>
      <c r="B816" s="11" t="inlineStr">
        <is>
          <t>实惠</t>
        </is>
      </c>
      <c r="C816" s="8">
        <f>pinyin(B816)</f>
        <v/>
      </c>
      <c r="D816" s="8" t="inlineStr">
        <is>
          <t>实惠、真正的好处、划算</t>
        </is>
      </c>
      <c r="E816" s="8">
        <f>IFERROR(__xludf.DUMMYFUNCTION("GOOGLETRANSLATE(B816, ""zh"", ""vi"")"),"Có thể chi trả")</f>
        <v/>
      </c>
      <c r="F816" s="8" t="inlineStr">
        <is>
          <t>这件衣服既漂亮又实惠。</t>
        </is>
      </c>
      <c r="H816" s="9">
        <f>G816=B816</f>
        <v/>
      </c>
    </row>
    <row r="817">
      <c r="A817" s="8" t="inlineStr">
        <is>
          <t>bài 17</t>
        </is>
      </c>
      <c r="B817" s="11" t="inlineStr">
        <is>
          <t>个体</t>
        </is>
      </c>
      <c r="C817" s="8">
        <f>pinyin(B817)</f>
        <v/>
      </c>
      <c r="D817" s="8" t="inlineStr">
        <is>
          <t>个体、单个的人或生物</t>
        </is>
      </c>
      <c r="E817" s="8">
        <f>IFERROR(__xludf.DUMMYFUNCTION("GOOGLETRANSLATE(B817, ""zh"", ""vi"")"),"cá nhân")</f>
        <v/>
      </c>
      <c r="F817" s="8" t="inlineStr">
        <is>
          <t>每个个体的情况都不一样。</t>
        </is>
      </c>
      <c r="H817" s="9">
        <f>G817=B817</f>
        <v/>
      </c>
    </row>
    <row r="818">
      <c r="A818" s="8" t="inlineStr">
        <is>
          <t>bài 17</t>
        </is>
      </c>
      <c r="B818" s="11" t="inlineStr">
        <is>
          <t>焦急</t>
        </is>
      </c>
      <c r="C818" s="8">
        <f>pinyin(B818)</f>
        <v/>
      </c>
      <c r="D818" s="8" t="inlineStr">
        <is>
          <t>焦急、非常着急</t>
        </is>
      </c>
      <c r="E818" s="8">
        <f>IFERROR(__xludf.DUMMYFUNCTION("GOOGLETRANSLATE(B818, ""zh"", ""vi"")"),"lo lắng")</f>
        <v/>
      </c>
      <c r="F818" s="8" t="inlineStr">
        <is>
          <t>孩子还没回来，妈妈非常焦急。</t>
        </is>
      </c>
      <c r="H818" s="9">
        <f>G818=B818</f>
        <v/>
      </c>
    </row>
    <row r="819">
      <c r="A819" s="8" t="inlineStr">
        <is>
          <t>bài 18</t>
        </is>
      </c>
      <c r="B819" s="11" t="inlineStr">
        <is>
          <t>神奇</t>
        </is>
      </c>
      <c r="C819" s="8">
        <f>pinyin(B819)</f>
        <v/>
      </c>
      <c r="D819" s="8" t="inlineStr">
        <is>
          <t>很神奇、令人惊叹</t>
        </is>
      </c>
      <c r="E819" s="8">
        <f>IFERROR(__xludf.DUMMYFUNCTION("GOOGLETRANSLATE(B819, ""zh"", ""vi"")"),"ảo thuật")</f>
        <v/>
      </c>
      <c r="F819" s="8" t="inlineStr">
        <is>
          <t>大自然太神奇了。</t>
        </is>
      </c>
      <c r="H819" s="9">
        <f>G819=B819</f>
        <v/>
      </c>
    </row>
    <row r="820">
      <c r="A820" s="8" t="inlineStr">
        <is>
          <t>bài 18</t>
        </is>
      </c>
      <c r="B820" s="11" t="inlineStr">
        <is>
          <t>丝瓜</t>
        </is>
      </c>
      <c r="C820" s="8">
        <f>pinyin(B820)</f>
        <v/>
      </c>
      <c r="D820" s="8" t="inlineStr">
        <is>
          <t>一种常见的瓜类蔬菜</t>
        </is>
      </c>
      <c r="E820" s="8">
        <f>IFERROR(__xludf.DUMMYFUNCTION("GOOGLETRANSLATE(B820, ""zh"", ""vi"")"),"xơ mướp")</f>
        <v/>
      </c>
      <c r="F820" s="8" t="inlineStr">
        <is>
          <t>妈妈今天买了两个丝瓜。</t>
        </is>
      </c>
      <c r="H820" s="9">
        <f>G820=B820</f>
        <v/>
      </c>
    </row>
    <row r="821">
      <c r="A821" s="8" t="inlineStr">
        <is>
          <t>bài 18</t>
        </is>
      </c>
      <c r="B821" s="11" t="inlineStr">
        <is>
          <t>随即</t>
        </is>
      </c>
      <c r="C821" s="8">
        <f>pinyin(B821)</f>
        <v/>
      </c>
      <c r="D821" s="8" t="inlineStr">
        <is>
          <t>紧接着、马上</t>
        </is>
      </c>
      <c r="E821" s="8">
        <f>IFERROR(__xludf.DUMMYFUNCTION("GOOGLETRANSLATE(B821, ""zh"", ""vi"")"),"ngay lập tức")</f>
        <v/>
      </c>
      <c r="F821" s="8" t="inlineStr">
        <is>
          <t>他说完就随即离开了。</t>
        </is>
      </c>
      <c r="H821" s="9">
        <f>G821=B821</f>
        <v/>
      </c>
    </row>
    <row r="822">
      <c r="A822" s="8" t="inlineStr">
        <is>
          <t>bài 18</t>
        </is>
      </c>
      <c r="B822" s="11" t="inlineStr">
        <is>
          <t>株</t>
        </is>
      </c>
      <c r="C822" s="8">
        <f>pinyin(B822)</f>
        <v/>
      </c>
      <c r="D822" s="8" t="inlineStr">
        <is>
          <t>植物的计数单位</t>
        </is>
      </c>
      <c r="E822" s="8">
        <f>IFERROR(__xludf.DUMMYFUNCTION("GOOGLETRANSLATE(B822, ""zh"", ""vi"")"),"sự căng thẳng")</f>
        <v/>
      </c>
      <c r="F822" s="8" t="inlineStr">
        <is>
          <t>这株丝瓜长得特别快。</t>
        </is>
      </c>
      <c r="H822" s="9">
        <f>G822=B822</f>
        <v/>
      </c>
    </row>
    <row r="823">
      <c r="A823" s="8" t="inlineStr">
        <is>
          <t>bài 18</t>
        </is>
      </c>
      <c r="B823" s="11" t="inlineStr">
        <is>
          <t>粒</t>
        </is>
      </c>
      <c r="C823" s="8">
        <f>pinyin(B823)</f>
        <v/>
      </c>
      <c r="D823" s="8" t="inlineStr">
        <is>
          <t>细小颗粒的计数单位</t>
        </is>
      </c>
      <c r="E823" s="8">
        <f>IFERROR(__xludf.DUMMYFUNCTION("GOOGLETRANSLATE(B823, ""zh"", ""vi"")"),"ngũ cốc")</f>
        <v/>
      </c>
      <c r="F823" s="8" t="inlineStr">
        <is>
          <t>碗里只剩几粒米了。</t>
        </is>
      </c>
      <c r="H823" s="9">
        <f>G823=B823</f>
        <v/>
      </c>
    </row>
    <row r="824">
      <c r="A824" s="8" t="inlineStr">
        <is>
          <t>bài 18</t>
        </is>
      </c>
      <c r="B824" s="11" t="inlineStr">
        <is>
          <t>土壤</t>
        </is>
      </c>
      <c r="C824" s="8">
        <f>pinyin(B824)</f>
        <v/>
      </c>
      <c r="D824" s="8" t="inlineStr">
        <is>
          <t>土地、泥土</t>
        </is>
      </c>
      <c r="E824" s="8">
        <f>IFERROR(__xludf.DUMMYFUNCTION("GOOGLETRANSLATE(B824, ""zh"", ""vi"")"),"đất")</f>
        <v/>
      </c>
      <c r="F824" s="8" t="inlineStr">
        <is>
          <t>这块土壤很适合种菜。</t>
        </is>
      </c>
      <c r="H824" s="9">
        <f>G824=B824</f>
        <v/>
      </c>
    </row>
    <row r="825">
      <c r="A825" s="8" t="inlineStr">
        <is>
          <t>bài 18</t>
        </is>
      </c>
      <c r="B825" s="11" t="inlineStr">
        <is>
          <t>肥沃</t>
        </is>
      </c>
      <c r="C825" s="8">
        <f>pinyin(B825)</f>
        <v/>
      </c>
      <c r="D825" s="8" t="inlineStr">
        <is>
          <t>土地肥沃、养分充足</t>
        </is>
      </c>
      <c r="E825" s="8">
        <f>IFERROR(__xludf.DUMMYFUNCTION("GOOGLETRANSLATE(B825, ""zh"", ""vi"")"),"màu mỡ")</f>
        <v/>
      </c>
      <c r="F825" s="8" t="inlineStr">
        <is>
          <t>东北的黑土非常肥沃。</t>
        </is>
      </c>
      <c r="H825" s="9">
        <f>G825=B825</f>
        <v/>
      </c>
    </row>
    <row r="826">
      <c r="A826" s="8" t="inlineStr">
        <is>
          <t>bài 18</t>
        </is>
      </c>
      <c r="B826" s="11" t="inlineStr">
        <is>
          <t>滋润</t>
        </is>
      </c>
      <c r="C826" s="8">
        <f>pinyin(B826)</f>
        <v/>
      </c>
      <c r="D826" s="8" t="inlineStr">
        <is>
          <t>提供水分使植物生长</t>
        </is>
      </c>
      <c r="E826" s="8">
        <f>IFERROR(__xludf.DUMMYFUNCTION("GOOGLETRANSLATE(B826, ""zh"", ""vi"")"),"Dưỡng ẩm")</f>
        <v/>
      </c>
      <c r="F826" s="8" t="inlineStr">
        <is>
          <t>雨水滋润着年轻的树苗。</t>
        </is>
      </c>
      <c r="H826" s="9">
        <f>G826=B826</f>
        <v/>
      </c>
    </row>
    <row r="827">
      <c r="A827" s="8" t="inlineStr">
        <is>
          <t>bài 18</t>
        </is>
      </c>
      <c r="B827" s="11" t="inlineStr">
        <is>
          <t>照耀</t>
        </is>
      </c>
      <c r="C827" s="8">
        <f>pinyin(B827)</f>
        <v/>
      </c>
      <c r="D827" s="8" t="inlineStr">
        <is>
          <t>光线照射</t>
        </is>
      </c>
      <c r="E827" s="8">
        <f>IFERROR(__xludf.DUMMYFUNCTION("GOOGLETRANSLATE(B827, ""zh"", ""vi"")"),"Tỏa sáng")</f>
        <v/>
      </c>
      <c r="F827" s="8" t="inlineStr">
        <is>
          <t>阳光照耀着大地。</t>
        </is>
      </c>
      <c r="H827" s="9">
        <f>G827=B827</f>
        <v/>
      </c>
    </row>
    <row r="828">
      <c r="A828" s="8" t="inlineStr">
        <is>
          <t>bài 18</t>
        </is>
      </c>
      <c r="B828" s="11" t="inlineStr">
        <is>
          <t>惊讶</t>
        </is>
      </c>
      <c r="C828" s="8">
        <f>pinyin(B828)</f>
        <v/>
      </c>
      <c r="D828" s="8" t="inlineStr">
        <is>
          <t>感到吃惊</t>
        </is>
      </c>
      <c r="E828" s="8">
        <f>IFERROR(__xludf.DUMMYFUNCTION("GOOGLETRANSLATE(B828, ""zh"", ""vi"")"),"sự ngạc nhiên")</f>
        <v/>
      </c>
      <c r="F828" s="8" t="inlineStr">
        <is>
          <t>我惊讶地发现丝瓜长得这么快。</t>
        </is>
      </c>
      <c r="H828" s="9">
        <f>G828=B828</f>
        <v/>
      </c>
    </row>
    <row r="829">
      <c r="A829" s="8" t="inlineStr">
        <is>
          <t>bài 18</t>
        </is>
      </c>
      <c r="B829" s="11" t="inlineStr">
        <is>
          <t>愣</t>
        </is>
      </c>
      <c r="C829" s="8">
        <f>pinyin(B829)</f>
        <v/>
      </c>
      <c r="D829" s="8" t="inlineStr">
        <is>
          <t>发呆、一下子反应不过来</t>
        </is>
      </c>
      <c r="E829" s="8">
        <f>IFERROR(__xludf.DUMMYFUNCTION("GOOGLETRANSLATE(B829, ""zh"", ""vi"")"),"choáng váng")</f>
        <v/>
      </c>
      <c r="F829" s="8" t="inlineStr">
        <is>
          <t>他被这个问题问愣了。</t>
        </is>
      </c>
      <c r="H829" s="9">
        <f>G829=B829</f>
        <v/>
      </c>
    </row>
    <row r="830">
      <c r="A830" s="8" t="inlineStr">
        <is>
          <t>bài 18</t>
        </is>
      </c>
      <c r="B830" s="11" t="inlineStr">
        <is>
          <t>拔苗助长</t>
        </is>
      </c>
      <c r="C830" s="8">
        <f>pinyin(B830)</f>
        <v/>
      </c>
      <c r="D830" s="8" t="inlineStr">
        <is>
          <t>拔苗助长（违背自然规律）</t>
        </is>
      </c>
      <c r="E830" s="8">
        <f>IFERROR(__xludf.DUMMYFUNCTION("GOOGLETRANSLATE(B830, ""zh"", ""vi"")"),"Nhổ cây con để giúp chúng phát triển.")</f>
        <v/>
      </c>
      <c r="F830" s="8" t="inlineStr">
        <is>
          <t>不能拔苗助长，要顺其自然。</t>
        </is>
      </c>
      <c r="H830" s="9">
        <f>G830=B830</f>
        <v/>
      </c>
    </row>
    <row r="831">
      <c r="A831" s="8" t="inlineStr">
        <is>
          <t>bài 18</t>
        </is>
      </c>
      <c r="B831" s="11" t="inlineStr">
        <is>
          <t>宁愿</t>
        </is>
      </c>
      <c r="C831" s="8">
        <f>pinyin(B831)</f>
        <v/>
      </c>
      <c r="D831" s="8" t="inlineStr">
        <is>
          <t>宁可、情愿</t>
        </is>
      </c>
      <c r="E831" s="8">
        <f>IFERROR(__xludf.DUMMYFUNCTION("GOOGLETRANSLATE(B831, ""zh"", ""vi"")"),"thà")</f>
        <v/>
      </c>
      <c r="F831" s="8" t="inlineStr">
        <is>
          <t>我宁愿自己辛苦也不麻烦别人。</t>
        </is>
      </c>
      <c r="H831" s="9">
        <f>G831=B831</f>
        <v/>
      </c>
    </row>
    <row r="832">
      <c r="A832" s="8" t="inlineStr">
        <is>
          <t>bài 18</t>
        </is>
      </c>
      <c r="B832" s="11" t="inlineStr">
        <is>
          <t>疲倦</t>
        </is>
      </c>
      <c r="C832" s="8">
        <f>pinyin(B832)</f>
        <v/>
      </c>
      <c r="D832" s="8" t="inlineStr">
        <is>
          <t>身体疲劳</t>
        </is>
      </c>
      <c r="E832" s="8">
        <f>IFERROR(__xludf.DUMMYFUNCTION("GOOGLETRANSLATE(B832, ""zh"", ""vi"")"),"mệt")</f>
        <v/>
      </c>
      <c r="F832" s="8" t="inlineStr">
        <is>
          <t>工作了一天，他感到很疲倦。</t>
        </is>
      </c>
      <c r="H832" s="9">
        <f>G832=B832</f>
        <v/>
      </c>
    </row>
    <row r="833">
      <c r="A833" s="8" t="inlineStr">
        <is>
          <t>bài 18</t>
        </is>
      </c>
      <c r="B833" s="11" t="inlineStr">
        <is>
          <t>茎</t>
        </is>
      </c>
      <c r="C833" s="8">
        <f>pinyin(B833)</f>
        <v/>
      </c>
      <c r="D833" s="8" t="inlineStr">
        <is>
          <t>植物的茎</t>
        </is>
      </c>
      <c r="E833" s="8">
        <f>IFERROR(__xludf.DUMMYFUNCTION("GOOGLETRANSLATE(B833, ""zh"", ""vi"")"),"thân cây")</f>
        <v/>
      </c>
      <c r="F833" s="8" t="inlineStr">
        <is>
          <t>丝瓜的茎爬上了墙。</t>
        </is>
      </c>
      <c r="H833" s="9">
        <f>G833=B833</f>
        <v/>
      </c>
    </row>
    <row r="834">
      <c r="A834" s="8" t="inlineStr">
        <is>
          <t>bài 18</t>
        </is>
      </c>
      <c r="B834" s="11" t="inlineStr">
        <is>
          <t>幢</t>
        </is>
      </c>
      <c r="C834" s="8">
        <f>pinyin(B834)</f>
        <v/>
      </c>
      <c r="D834" s="8" t="inlineStr">
        <is>
          <t>楼房计数单位</t>
        </is>
      </c>
      <c r="E834" s="8">
        <f>IFERROR(__xludf.DUMMYFUNCTION("GOOGLETRANSLATE(B834, ""zh"", ""vi"")"),"Xây dựng")</f>
        <v/>
      </c>
      <c r="F834" s="8" t="inlineStr">
        <is>
          <t>我们住在这幢楼的第三层。</t>
        </is>
      </c>
      <c r="H834" s="9">
        <f>G834=B834</f>
        <v/>
      </c>
    </row>
    <row r="835">
      <c r="A835" s="8" t="inlineStr">
        <is>
          <t>bài 18</t>
        </is>
      </c>
      <c r="B835" s="11" t="inlineStr">
        <is>
          <t>陡峭</t>
        </is>
      </c>
      <c r="C835" s="8">
        <f>pinyin(B835)</f>
        <v/>
      </c>
      <c r="D835" s="8" t="inlineStr">
        <is>
          <t>山势或墙壁很陡</t>
        </is>
      </c>
      <c r="E835" s="8">
        <f>IFERROR(__xludf.DUMMYFUNCTION("GOOGLETRANSLATE(B835, ""zh"", ""vi"")"),"dốc")</f>
        <v/>
      </c>
      <c r="F835" s="8" t="inlineStr">
        <is>
          <t>这座山非常陡峭。</t>
        </is>
      </c>
      <c r="H835" s="9">
        <f>G835=B835</f>
        <v/>
      </c>
    </row>
    <row r="836">
      <c r="A836" s="8" t="inlineStr">
        <is>
          <t>bài 18</t>
        </is>
      </c>
      <c r="B836" s="11" t="inlineStr">
        <is>
          <t>挺拔</t>
        </is>
      </c>
      <c r="C836" s="8">
        <f>pinyin(B836)</f>
        <v/>
      </c>
      <c r="D836" s="8" t="inlineStr">
        <is>
          <t>直而高壮</t>
        </is>
      </c>
      <c r="E836" s="8">
        <f>IFERROR(__xludf.DUMMYFUNCTION("GOOGLETRANSLATE(B836, ""zh"", ""vi"")"),"cao và thẳng")</f>
        <v/>
      </c>
      <c r="F836" s="8" t="inlineStr">
        <is>
          <t>那棵松树长得挺拔有力。</t>
        </is>
      </c>
      <c r="H836" s="9">
        <f>G836=B836</f>
        <v/>
      </c>
    </row>
    <row r="837">
      <c r="A837" s="8" t="inlineStr">
        <is>
          <t>bài 18</t>
        </is>
      </c>
      <c r="B837" s="11" t="inlineStr">
        <is>
          <t>茂盛</t>
        </is>
      </c>
      <c r="C837" s="8">
        <f>pinyin(B837)</f>
        <v/>
      </c>
      <c r="D837" s="8" t="inlineStr">
        <is>
          <t>植物长得茂密旺盛</t>
        </is>
      </c>
      <c r="E837" s="8">
        <f>IFERROR(__xludf.DUMMYFUNCTION("GOOGLETRANSLATE(B837, ""zh"", ""vi"")"),"tươi tốt")</f>
        <v/>
      </c>
      <c r="F837" s="8" t="inlineStr">
        <is>
          <t>花园里的花草非常茂盛。</t>
        </is>
      </c>
      <c r="H837" s="9">
        <f>G837=B837</f>
        <v/>
      </c>
    </row>
    <row r="838">
      <c r="A838" s="8" t="inlineStr">
        <is>
          <t>bài 18</t>
        </is>
      </c>
      <c r="B838" s="11" t="inlineStr">
        <is>
          <t>覆盖</t>
        </is>
      </c>
      <c r="C838" s="8">
        <f>pinyin(B838)</f>
        <v/>
      </c>
      <c r="D838" s="8" t="inlineStr">
        <is>
          <t>盖住、遮住表面</t>
        </is>
      </c>
      <c r="E838" s="8">
        <f>IFERROR(__xludf.DUMMYFUNCTION("GOOGLETRANSLATE(B838, ""zh"", ""vi"")"),"che phủ")</f>
        <v/>
      </c>
      <c r="F838" s="8" t="inlineStr">
        <is>
          <t>绿叶覆盖了整个墙面。</t>
        </is>
      </c>
      <c r="H838" s="9">
        <f>G838=B838</f>
        <v/>
      </c>
    </row>
    <row r="839">
      <c r="A839" s="8" t="inlineStr">
        <is>
          <t>bài 18</t>
        </is>
      </c>
      <c r="B839" s="11" t="inlineStr">
        <is>
          <t>水泥</t>
        </is>
      </c>
      <c r="C839" s="8">
        <f>pinyin(B839)</f>
        <v/>
      </c>
      <c r="D839" s="8" t="inlineStr">
        <is>
          <t>建筑材料</t>
        </is>
      </c>
      <c r="E839" s="8">
        <f>IFERROR(__xludf.DUMMYFUNCTION("GOOGLETRANSLATE(B839, ""zh"", ""vi"")"),"xi măng")</f>
        <v/>
      </c>
      <c r="F839" s="8" t="inlineStr">
        <is>
          <t>这个房子是用水泥建的。</t>
        </is>
      </c>
      <c r="H839" s="9">
        <f>G839=B839</f>
        <v/>
      </c>
    </row>
    <row r="840">
      <c r="A840" s="8" t="inlineStr">
        <is>
          <t>bài 18</t>
        </is>
      </c>
      <c r="B840" s="11" t="inlineStr">
        <is>
          <t>生机</t>
        </is>
      </c>
      <c r="C840" s="8">
        <f>pinyin(B840)</f>
        <v/>
      </c>
      <c r="D840" s="8" t="inlineStr">
        <is>
          <t>生命力、活力</t>
        </is>
      </c>
      <c r="E840" s="8">
        <f>IFERROR(__xludf.DUMMYFUNCTION("GOOGLETRANSLATE(B840, ""zh"", ""vi"")"),"sức sống")</f>
        <v/>
      </c>
      <c r="F840" s="8" t="inlineStr">
        <is>
          <t>春天万物充满生机。</t>
        </is>
      </c>
      <c r="H840" s="9">
        <f>G840=B840</f>
        <v/>
      </c>
    </row>
    <row r="841">
      <c r="A841" s="8" t="inlineStr">
        <is>
          <t>bài 18</t>
        </is>
      </c>
      <c r="B841" s="11" t="inlineStr">
        <is>
          <t>花瓣</t>
        </is>
      </c>
      <c r="C841" s="8">
        <f>pinyin(B841)</f>
        <v/>
      </c>
      <c r="D841" s="8" t="inlineStr">
        <is>
          <t>花的花瓣</t>
        </is>
      </c>
      <c r="E841" s="8">
        <f>IFERROR(__xludf.DUMMYFUNCTION("GOOGLETRANSLATE(B841, ""zh"", ""vi"")"),"cánh hoa")</f>
        <v/>
      </c>
      <c r="F841" s="8" t="inlineStr">
        <is>
          <t>黄色的花瓣非常漂亮。</t>
        </is>
      </c>
      <c r="H841" s="9">
        <f>G841=B841</f>
        <v/>
      </c>
    </row>
    <row r="842">
      <c r="A842" s="8" t="inlineStr">
        <is>
          <t>bài 18</t>
        </is>
      </c>
      <c r="B842" s="11" t="inlineStr">
        <is>
          <t>点缀</t>
        </is>
      </c>
      <c r="C842" s="8">
        <f>pinyin(B842)</f>
        <v/>
      </c>
      <c r="D842" s="8" t="inlineStr">
        <is>
          <t>加以装饰、美化</t>
        </is>
      </c>
      <c r="E842" s="8">
        <f>IFERROR(__xludf.DUMMYFUNCTION("GOOGLETRANSLATE(B842, ""zh"", ""vi"")"),"trang trí")</f>
        <v/>
      </c>
      <c r="F842" s="8" t="inlineStr">
        <is>
          <t>红花点缀在绿叶之间。</t>
        </is>
      </c>
      <c r="H842" s="9">
        <f>G842=B842</f>
        <v/>
      </c>
    </row>
    <row r="843">
      <c r="A843" s="8" t="inlineStr">
        <is>
          <t>bài 18</t>
        </is>
      </c>
      <c r="B843" s="11" t="inlineStr">
        <is>
          <t>协调</t>
        </is>
      </c>
      <c r="C843" s="8">
        <f>pinyin(B843)</f>
        <v/>
      </c>
      <c r="D843" s="8" t="inlineStr">
        <is>
          <t>配合得当、和谐</t>
        </is>
      </c>
      <c r="E843" s="8">
        <f>IFERROR(__xludf.DUMMYFUNCTION("GOOGLETRANSLATE(B843, ""zh"", ""vi"")"),"phối hợp")</f>
        <v/>
      </c>
      <c r="F843" s="8" t="inlineStr">
        <is>
          <t>两种颜色搭配得很协调。</t>
        </is>
      </c>
      <c r="H843" s="9">
        <f>G843=B843</f>
        <v/>
      </c>
    </row>
    <row r="844">
      <c r="A844" s="8" t="inlineStr">
        <is>
          <t>bài 18</t>
        </is>
      </c>
      <c r="B844" s="11" t="inlineStr">
        <is>
          <t>柔和</t>
        </is>
      </c>
      <c r="C844" s="8">
        <f>pinyin(B844)</f>
        <v/>
      </c>
      <c r="D844" s="8" t="inlineStr">
        <is>
          <t>温和、不强烈</t>
        </is>
      </c>
      <c r="E844" s="8">
        <f>IFERROR(__xludf.DUMMYFUNCTION("GOOGLETRANSLATE(B844, ""zh"", ""vi"")"),"mềm mại")</f>
        <v/>
      </c>
      <c r="F844" s="8" t="inlineStr">
        <is>
          <t>她的声音柔和好听。</t>
        </is>
      </c>
      <c r="H844" s="9">
        <f>G844=B844</f>
        <v/>
      </c>
    </row>
    <row r="845">
      <c r="A845" s="8" t="inlineStr">
        <is>
          <t>bài 18</t>
        </is>
      </c>
      <c r="B845" s="11" t="inlineStr">
        <is>
          <t>分量</t>
        </is>
      </c>
      <c r="C845" s="8">
        <f>pinyin(B845)</f>
        <v/>
      </c>
      <c r="D845" s="8" t="inlineStr">
        <is>
          <t>重量</t>
        </is>
      </c>
      <c r="E845" s="8">
        <f>IFERROR(__xludf.DUMMYFUNCTION("GOOGLETRANSLATE(B845, ""zh"", ""vi"")"),"Số lượng")</f>
        <v/>
      </c>
      <c r="F845" s="8" t="inlineStr">
        <is>
          <t>这个瓜的分量不轻。</t>
        </is>
      </c>
      <c r="H845" s="9">
        <f>G845=B845</f>
        <v/>
      </c>
    </row>
    <row r="846">
      <c r="A846" s="8" t="inlineStr">
        <is>
          <t>bài 18</t>
        </is>
      </c>
      <c r="B846" s="11" t="inlineStr">
        <is>
          <t>朝气蓬勃</t>
        </is>
      </c>
      <c r="C846" s="8">
        <f>pinyin(B846)</f>
        <v/>
      </c>
      <c r="D846" s="8" t="inlineStr">
        <is>
          <t>充满活力、生气勃勃</t>
        </is>
      </c>
      <c r="E846" s="8">
        <f>IFERROR(__xludf.DUMMYFUNCTION("GOOGLETRANSLATE(B846, ""zh"", ""vi"")"),"mãnh liệt")</f>
        <v/>
      </c>
      <c r="F846" s="8" t="inlineStr">
        <is>
          <t>孩子们朝气蓬勃的样子真好。</t>
        </is>
      </c>
      <c r="H846" s="9">
        <f>G846=B846</f>
        <v/>
      </c>
    </row>
    <row r="847">
      <c r="A847" s="8" t="inlineStr">
        <is>
          <t>bài 18</t>
        </is>
      </c>
      <c r="B847" s="11" t="inlineStr">
        <is>
          <t>悬挂</t>
        </is>
      </c>
      <c r="C847" s="8">
        <f>pinyin(B847)</f>
        <v/>
      </c>
      <c r="D847" s="8" t="inlineStr">
        <is>
          <t>挂在空中</t>
        </is>
      </c>
      <c r="E847" s="8">
        <f>IFERROR(__xludf.DUMMYFUNCTION("GOOGLETRANSLATE(B847, ""zh"", ""vi"")"),"đình chỉ")</f>
        <v/>
      </c>
      <c r="F847" s="8" t="inlineStr">
        <is>
          <t>丝瓜悬挂在空中。</t>
        </is>
      </c>
      <c r="H847" s="9">
        <f>G847=B847</f>
        <v/>
      </c>
    </row>
    <row r="848">
      <c r="A848" s="8" t="inlineStr">
        <is>
          <t>bài 18</t>
        </is>
      </c>
      <c r="B848" s="11" t="inlineStr">
        <is>
          <t>负担</t>
        </is>
      </c>
      <c r="C848" s="8">
        <f>pinyin(B848)</f>
        <v/>
      </c>
      <c r="D848" s="8" t="inlineStr">
        <is>
          <t>承受重量、责任</t>
        </is>
      </c>
      <c r="E848" s="8">
        <f>IFERROR(__xludf.DUMMYFUNCTION("GOOGLETRANSLATE(B848, ""zh"", ""vi"")"),"gánh nặng")</f>
        <v/>
      </c>
      <c r="F848" s="8" t="inlineStr">
        <is>
          <t>这根细茎负担不起大瓜的重量。</t>
        </is>
      </c>
      <c r="H848" s="9">
        <f>G848=B848</f>
        <v/>
      </c>
    </row>
    <row r="849">
      <c r="A849" s="8" t="inlineStr">
        <is>
          <t>bài 18</t>
        </is>
      </c>
      <c r="B849" s="11" t="inlineStr">
        <is>
          <t>坠</t>
        </is>
      </c>
      <c r="C849" s="8">
        <f>pinyin(B849)</f>
        <v/>
      </c>
      <c r="D849" s="8" t="inlineStr">
        <is>
          <t>向下掉落</t>
        </is>
      </c>
      <c r="E849" s="8">
        <f>IFERROR(__xludf.DUMMYFUNCTION("GOOGLETRANSLATE(B849, ""zh"", ""vi"")"),"ngã")</f>
        <v/>
      </c>
      <c r="F849" s="8" t="inlineStr">
        <is>
          <t>苹果从树上坠落下来。</t>
        </is>
      </c>
      <c r="H849" s="9">
        <f>G849=B849</f>
        <v/>
      </c>
    </row>
    <row r="850">
      <c r="A850" s="8" t="inlineStr">
        <is>
          <t>bài 18</t>
        </is>
      </c>
      <c r="B850" s="11" t="inlineStr">
        <is>
          <t>沉重</t>
        </is>
      </c>
      <c r="C850" s="8">
        <f>pinyin(B850)</f>
        <v/>
      </c>
      <c r="D850" s="8" t="inlineStr">
        <is>
          <t>沉重、有压力</t>
        </is>
      </c>
      <c r="E850" s="8">
        <f>IFERROR(__xludf.DUMMYFUNCTION("GOOGLETRANSLATE(B850, ""zh"", ""vi"")"),"nặng")</f>
        <v/>
      </c>
      <c r="F850" s="8" t="inlineStr">
        <is>
          <t>这个消息给他带来沉重的打击。</t>
        </is>
      </c>
      <c r="H850" s="9">
        <f>G850=B850</f>
        <v/>
      </c>
    </row>
    <row r="851">
      <c r="A851" s="8" t="inlineStr">
        <is>
          <t>bài 18</t>
        </is>
      </c>
      <c r="B851" s="11" t="inlineStr">
        <is>
          <t>节制</t>
        </is>
      </c>
      <c r="C851" s="8">
        <f>pinyin(B851)</f>
        <v/>
      </c>
      <c r="D851" s="8" t="inlineStr">
        <is>
          <t>控制、节制</t>
        </is>
      </c>
      <c r="E851" s="8">
        <f>IFERROR(__xludf.DUMMYFUNCTION("GOOGLETRANSLATE(B851, ""zh"", ""vi"")"),"điều khiển")</f>
        <v/>
      </c>
      <c r="F851" s="8" t="inlineStr">
        <is>
          <t>玩游戏要有节制。</t>
        </is>
      </c>
      <c r="H851" s="9">
        <f>G851=B851</f>
        <v/>
      </c>
    </row>
    <row r="852">
      <c r="A852" s="8" t="inlineStr">
        <is>
          <t>bài 18</t>
        </is>
      </c>
      <c r="B852" s="11" t="inlineStr">
        <is>
          <t>辫子</t>
        </is>
      </c>
      <c r="C852" s="8">
        <f>pinyin(B852)</f>
        <v/>
      </c>
      <c r="D852" s="8" t="inlineStr">
        <is>
          <t>编好的头发</t>
        </is>
      </c>
      <c r="E852" s="8">
        <f>IFERROR(__xludf.DUMMYFUNCTION("GOOGLETRANSLATE(B852, ""zh"", ""vi"")"),"bím tóc")</f>
        <v/>
      </c>
      <c r="F852" s="8" t="inlineStr">
        <is>
          <t>她扎着两条长辫子。</t>
        </is>
      </c>
      <c r="H852" s="9">
        <f>G852=B852</f>
        <v/>
      </c>
    </row>
    <row r="853">
      <c r="A853" s="8" t="inlineStr">
        <is>
          <t>bài 18</t>
        </is>
      </c>
      <c r="B853" s="11" t="inlineStr">
        <is>
          <t>臂</t>
        </is>
      </c>
      <c r="C853" s="8">
        <f>pinyin(B853)</f>
        <v/>
      </c>
      <c r="D853" s="8" t="inlineStr">
        <is>
          <t>胳膊</t>
        </is>
      </c>
      <c r="E853" s="8">
        <f>IFERROR(__xludf.DUMMYFUNCTION("GOOGLETRANSLATE(B853, ""zh"", ""vi"")"),"cánh tay")</f>
        <v/>
      </c>
      <c r="F853" s="8" t="inlineStr">
        <is>
          <t>他的臂力很大。</t>
        </is>
      </c>
      <c r="H853" s="9">
        <f>G853=B853</f>
        <v/>
      </c>
    </row>
    <row r="854">
      <c r="A854" s="8" t="inlineStr">
        <is>
          <t>bài 18</t>
        </is>
      </c>
      <c r="B854" s="11" t="inlineStr">
        <is>
          <t>呵</t>
        </is>
      </c>
      <c r="C854" s="8">
        <f>pinyin(B854)</f>
        <v/>
      </c>
      <c r="D854" s="8" t="inlineStr">
        <is>
          <t>呼气</t>
        </is>
      </c>
      <c r="E854" s="8">
        <f>IFERROR(__xludf.DUMMYFUNCTION("GOOGLETRANSLATE(B854, ""zh"", ""vi"")"),"Ồ")</f>
        <v/>
      </c>
      <c r="F854" s="8" t="inlineStr">
        <is>
          <t>冬天呵气都是白色的。</t>
        </is>
      </c>
      <c r="H854" s="9">
        <f>G854=B854</f>
        <v/>
      </c>
    </row>
    <row r="855">
      <c r="A855" s="8" t="inlineStr">
        <is>
          <t>bài 18</t>
        </is>
      </c>
      <c r="B855" s="11" t="inlineStr">
        <is>
          <t>与日俱增</t>
        </is>
      </c>
      <c r="C855" s="8">
        <f>pinyin(B855)</f>
        <v/>
      </c>
      <c r="D855" s="8" t="inlineStr">
        <is>
          <t>一天天增加</t>
        </is>
      </c>
      <c r="E855" s="8">
        <f>IFERROR(__xludf.DUMMYFUNCTION("GOOGLETRANSLATE(B855, ""zh"", ""vi"")"),"tăng lên từng ngày")</f>
        <v/>
      </c>
      <c r="F855" s="8" t="inlineStr">
        <is>
          <t>他的压力与日俱增。</t>
        </is>
      </c>
      <c r="H855" s="9">
        <f>G855=B855</f>
        <v/>
      </c>
    </row>
    <row r="856">
      <c r="A856" s="8" t="inlineStr">
        <is>
          <t>bài 18</t>
        </is>
      </c>
      <c r="B856" s="11" t="inlineStr">
        <is>
          <t>梢</t>
        </is>
      </c>
      <c r="C856" s="8">
        <f>pinyin(B856)</f>
        <v/>
      </c>
      <c r="D856" s="8" t="inlineStr">
        <is>
          <t>末端、顶端</t>
        </is>
      </c>
      <c r="E856" s="8">
        <f>IFERROR(__xludf.DUMMYFUNCTION("GOOGLETRANSLATE(B856, ""zh"", ""vi"")"),"Mẹo")</f>
        <v/>
      </c>
      <c r="F856" s="8" t="inlineStr">
        <is>
          <t>鸟停在树梢上。</t>
        </is>
      </c>
      <c r="H856" s="9">
        <f>G856=B856</f>
        <v/>
      </c>
    </row>
    <row r="857">
      <c r="A857" s="8" t="inlineStr">
        <is>
          <t>bài 18</t>
        </is>
      </c>
      <c r="B857" s="11" t="inlineStr">
        <is>
          <t>垂直</t>
        </is>
      </c>
      <c r="C857" s="8">
        <f>pinyin(B857)</f>
        <v/>
      </c>
      <c r="D857" s="8" t="inlineStr">
        <is>
          <t>垂直方向</t>
        </is>
      </c>
      <c r="E857" s="8">
        <f>IFERROR(__xludf.DUMMYFUNCTION("GOOGLETRANSLATE(B857, ""zh"", ""vi"")"),"thẳng đứng")</f>
        <v/>
      </c>
      <c r="F857" s="8" t="inlineStr">
        <is>
          <t>电线垂直地挂着。</t>
        </is>
      </c>
      <c r="H857" s="9">
        <f>G857=B857</f>
        <v/>
      </c>
    </row>
    <row r="858">
      <c r="A858" s="8" t="inlineStr">
        <is>
          <t>bài 18</t>
        </is>
      </c>
      <c r="B858" s="11" t="inlineStr">
        <is>
          <t>吊</t>
        </is>
      </c>
      <c r="C858" s="8">
        <f>pinyin(B858)</f>
        <v/>
      </c>
      <c r="D858" s="8" t="inlineStr">
        <is>
          <t>悬空挂着</t>
        </is>
      </c>
      <c r="E858" s="8">
        <f>IFERROR(__xludf.DUMMYFUNCTION("GOOGLETRANSLATE(B858, ""zh"", ""vi"")"),"Treo")</f>
        <v/>
      </c>
      <c r="F858" s="8" t="inlineStr">
        <is>
          <t>那个瓜垂直地吊在空中。</t>
        </is>
      </c>
      <c r="H858" s="9">
        <f>G858=B858</f>
        <v/>
      </c>
    </row>
    <row r="859">
      <c r="A859" s="8" t="inlineStr">
        <is>
          <t>bài 18</t>
        </is>
      </c>
      <c r="B859" s="11" t="inlineStr">
        <is>
          <t>晃</t>
        </is>
      </c>
      <c r="C859" s="8">
        <f>pinyin(B859)</f>
        <v/>
      </c>
      <c r="D859" s="8" t="inlineStr">
        <is>
          <t>摇晃、摆动</t>
        </is>
      </c>
      <c r="E859" s="8">
        <f>IFERROR(__xludf.DUMMYFUNCTION("GOOGLETRANSLATE(B859, ""zh"", ""vi"")"),"lắc")</f>
        <v/>
      </c>
      <c r="F859" s="8" t="inlineStr">
        <is>
          <t>风铃在风中晃来晃去。</t>
        </is>
      </c>
      <c r="H859" s="9">
        <f>G859=B859</f>
        <v/>
      </c>
    </row>
    <row r="860">
      <c r="A860" s="8" t="inlineStr">
        <is>
          <t>bài 18</t>
        </is>
      </c>
      <c r="B860" s="11" t="inlineStr">
        <is>
          <t>断定</t>
        </is>
      </c>
      <c r="C860" s="8">
        <f>pinyin(B860)</f>
        <v/>
      </c>
      <c r="D860" s="8" t="inlineStr">
        <is>
          <t>肯定判断</t>
        </is>
      </c>
      <c r="E860" s="8">
        <f>IFERROR(__xludf.DUMMYFUNCTION("GOOGLETRANSLATE(B860, ""zh"", ""vi"")"),"Quyết tâm")</f>
        <v/>
      </c>
      <c r="F860" s="8" t="inlineStr">
        <is>
          <t>我断定他会成功。</t>
        </is>
      </c>
      <c r="H860" s="9">
        <f>G860=B860</f>
        <v/>
      </c>
    </row>
    <row r="861">
      <c r="A861" s="8" t="inlineStr">
        <is>
          <t>bài 18</t>
        </is>
      </c>
      <c r="B861" s="11" t="inlineStr">
        <is>
          <t>凹凸</t>
        </is>
      </c>
      <c r="C861" s="8">
        <f>pinyin(B861)</f>
        <v/>
      </c>
      <c r="D861" s="8" t="inlineStr">
        <is>
          <t>高低不平</t>
        </is>
      </c>
      <c r="E861" s="8">
        <f>IFERROR(__xludf.DUMMYFUNCTION("GOOGLETRANSLATE(B861, ""zh"", ""vi"")"),"Lõm và lồi")</f>
        <v/>
      </c>
      <c r="F861" s="8" t="inlineStr">
        <is>
          <t>路面凹凸不平。</t>
        </is>
      </c>
      <c r="H861" s="9">
        <f>G861=B861</f>
        <v/>
      </c>
    </row>
    <row r="862">
      <c r="A862" s="8" t="inlineStr">
        <is>
          <t>bài 18</t>
        </is>
      </c>
      <c r="B862" s="11" t="inlineStr">
        <is>
          <t>修建</t>
        </is>
      </c>
      <c r="C862" s="8">
        <f>pinyin(B862)</f>
        <v/>
      </c>
      <c r="D862" s="8" t="inlineStr">
        <is>
          <t>建造</t>
        </is>
      </c>
      <c r="E862" s="8">
        <f>IFERROR(__xludf.DUMMYFUNCTION("GOOGLETRANSLATE(B862, ""zh"", ""vi"")"),"Sự thi công")</f>
        <v/>
      </c>
      <c r="F862" s="8" t="inlineStr">
        <is>
          <t>他们正在修建新楼。</t>
        </is>
      </c>
      <c r="H862" s="9">
        <f>G862=B862</f>
        <v/>
      </c>
    </row>
    <row r="863">
      <c r="A863" s="8" t="inlineStr">
        <is>
          <t>bài 18</t>
        </is>
      </c>
      <c r="B863" s="11" t="inlineStr">
        <is>
          <t>不可思议</t>
        </is>
      </c>
      <c r="C863" s="8">
        <f>pinyin(B863)</f>
        <v/>
      </c>
      <c r="D863" s="8" t="inlineStr">
        <is>
          <t>难以想象</t>
        </is>
      </c>
      <c r="E863" s="8">
        <f>IFERROR(__xludf.DUMMYFUNCTION("GOOGLETRANSLATE(B863, ""zh"", ""vi"")"),"Đáng kinh ngạc")</f>
        <v/>
      </c>
      <c r="F863" s="8" t="inlineStr">
        <is>
          <t>这个魔术太不可思议了。</t>
        </is>
      </c>
      <c r="H863" s="9">
        <f>G863=B863</f>
        <v/>
      </c>
    </row>
    <row r="864">
      <c r="A864" s="8" t="inlineStr">
        <is>
          <t>bài 18</t>
        </is>
      </c>
      <c r="B864" s="11" t="inlineStr">
        <is>
          <t>徘徊</t>
        </is>
      </c>
      <c r="C864" s="8">
        <f>pinyin(B864)</f>
        <v/>
      </c>
      <c r="D864" s="8" t="inlineStr">
        <is>
          <t>来回走动、犹豫</t>
        </is>
      </c>
      <c r="E864" s="8">
        <f>IFERROR(__xludf.DUMMYFUNCTION("GOOGLETRANSLATE(B864, ""zh"", ""vi"")"),"đi lang thang")</f>
        <v/>
      </c>
      <c r="F864" s="8" t="inlineStr">
        <is>
          <t>他一直在门口徘徊。</t>
        </is>
      </c>
      <c r="H864" s="9">
        <f>G864=B864</f>
        <v/>
      </c>
    </row>
    <row r="865">
      <c r="A865" s="8" t="inlineStr">
        <is>
          <t>bài 18</t>
        </is>
      </c>
      <c r="B865" s="11" t="inlineStr">
        <is>
          <t>一如既往</t>
        </is>
      </c>
      <c r="C865" s="8">
        <f>pinyin(B865)</f>
        <v/>
      </c>
      <c r="D865" s="8" t="inlineStr">
        <is>
          <t>和以前一样</t>
        </is>
      </c>
      <c r="E865" s="8">
        <f>IFERROR(__xludf.DUMMYFUNCTION("GOOGLETRANSLATE(B865, ""zh"", ""vi"")"),"như mọi khi")</f>
        <v/>
      </c>
      <c r="F865" s="8" t="inlineStr">
        <is>
          <t>他还是一如既往地努力学习。</t>
        </is>
      </c>
      <c r="H865" s="9">
        <f>G865=B865</f>
        <v/>
      </c>
    </row>
    <row r="866">
      <c r="A866" s="8" t="inlineStr">
        <is>
          <t>bài 19</t>
        </is>
      </c>
      <c r="B866" s="11" t="inlineStr">
        <is>
          <t>样品</t>
        </is>
      </c>
      <c r="C866" s="8">
        <f>pinyin(B866)</f>
        <v/>
      </c>
      <c r="D866" s="8" t="inlineStr">
        <is>
          <t>拿来做样子的东西</t>
        </is>
      </c>
      <c r="E866" s="8">
        <f>IFERROR(__xludf.DUMMYFUNCTION("GOOGLETRANSLATE(B866, ""zh"", ""vi"")"),"vật mẫu")</f>
        <v/>
      </c>
      <c r="F866" s="8" t="inlineStr">
        <is>
          <t>这部手机只是样品，不能卖。</t>
        </is>
      </c>
      <c r="H866" s="9">
        <f>G866=B866</f>
        <v/>
      </c>
    </row>
    <row r="867">
      <c r="A867" s="8" t="inlineStr">
        <is>
          <t>bài 19</t>
        </is>
      </c>
      <c r="B867" s="11" t="inlineStr">
        <is>
          <t>刺</t>
        </is>
      </c>
      <c r="C867" s="8">
        <f>pinyin(B867)</f>
        <v/>
      </c>
      <c r="D867" s="8" t="inlineStr">
        <is>
          <t>用尖东西扎人</t>
        </is>
      </c>
      <c r="E867" s="8">
        <f>IFERROR(__xludf.DUMMYFUNCTION("GOOGLETRANSLATE(B867, ""zh"", ""vi"")"),"đâm")</f>
        <v/>
      </c>
      <c r="F867" s="8" t="inlineStr">
        <is>
          <t>小心别被蜜蜂刺到。</t>
        </is>
      </c>
      <c r="H867" s="9">
        <f>G867=B867</f>
        <v/>
      </c>
    </row>
    <row r="868">
      <c r="A868" s="8" t="inlineStr">
        <is>
          <t>bài 19</t>
        </is>
      </c>
      <c r="B868" s="11" t="inlineStr">
        <is>
          <t>气味</t>
        </is>
      </c>
      <c r="C868" s="8">
        <f>pinyin(B868)</f>
        <v/>
      </c>
      <c r="D868" s="8" t="inlineStr">
        <is>
          <t>鼻子闻到的味道</t>
        </is>
      </c>
      <c r="E868" s="8">
        <f>IFERROR(__xludf.DUMMYFUNCTION("GOOGLETRANSLATE(B868, ""zh"", ""vi"")"),"mùi")</f>
        <v/>
      </c>
      <c r="F868" s="8" t="inlineStr">
        <is>
          <t>这房间有很难闻的气味。</t>
        </is>
      </c>
      <c r="H868" s="9">
        <f>G868=B868</f>
        <v/>
      </c>
    </row>
    <row r="869">
      <c r="A869" s="8" t="inlineStr">
        <is>
          <t>bài 19</t>
        </is>
      </c>
      <c r="B869" s="11" t="inlineStr">
        <is>
          <t>恍然大悟</t>
        </is>
      </c>
      <c r="C869" s="8">
        <f>pinyin(B869)</f>
        <v/>
      </c>
      <c r="D869" s="8" t="inlineStr">
        <is>
          <t>突然明白了</t>
        </is>
      </c>
      <c r="E869" s="8">
        <f>IFERROR(__xludf.DUMMYFUNCTION("GOOGLETRANSLATE(B869, ""zh"", ""vi"")"),"Đột nhiên nhận ra")</f>
        <v/>
      </c>
      <c r="F869" s="8" t="inlineStr">
        <is>
          <t>听了他的解释，我恍然大悟。</t>
        </is>
      </c>
      <c r="H869" s="9">
        <f>G869=B869</f>
        <v/>
      </c>
    </row>
    <row r="870">
      <c r="A870" s="8" t="inlineStr">
        <is>
          <t>bài 19</t>
        </is>
      </c>
      <c r="B870" s="11" t="inlineStr">
        <is>
          <t>进而</t>
        </is>
      </c>
      <c r="C870" s="8">
        <f>pinyin(B870)</f>
        <v/>
      </c>
      <c r="D870" s="8" t="inlineStr">
        <is>
          <t>再进一步</t>
        </is>
      </c>
      <c r="E870" s="8">
        <f>IFERROR(__xludf.DUMMYFUNCTION("GOOGLETRANSLATE(B870, ""zh"", ""vi"")"),"và sau đó")</f>
        <v/>
      </c>
      <c r="F870" s="8" t="inlineStr">
        <is>
          <t>先学好基础知识，进而才能创新。</t>
        </is>
      </c>
      <c r="H870" s="9">
        <f>G870=B870</f>
        <v/>
      </c>
    </row>
    <row r="871">
      <c r="A871" s="8" t="inlineStr">
        <is>
          <t>bài 19</t>
        </is>
      </c>
      <c r="B871" s="11" t="inlineStr">
        <is>
          <t>分裂</t>
        </is>
      </c>
      <c r="C871" s="8">
        <f>pinyin(B871)</f>
        <v/>
      </c>
      <c r="D871" s="8" t="inlineStr">
        <is>
          <t>分开裂开</t>
        </is>
      </c>
      <c r="E871" s="8">
        <f>IFERROR(__xludf.DUMMYFUNCTION("GOOGLETRANSLATE(B871, ""zh"", ""vi"")"),"Tách ra")</f>
        <v/>
      </c>
      <c r="F871" s="8" t="inlineStr">
        <is>
          <t>细胞分裂后才能生长。</t>
        </is>
      </c>
      <c r="H871" s="9">
        <f>G871=B871</f>
        <v/>
      </c>
    </row>
    <row r="872">
      <c r="A872" s="8" t="inlineStr">
        <is>
          <t>bài 19</t>
        </is>
      </c>
      <c r="B872" s="11" t="inlineStr">
        <is>
          <t>渗透</t>
        </is>
      </c>
      <c r="C872" s="8">
        <f>pinyin(B872)</f>
        <v/>
      </c>
      <c r="D872" s="8" t="inlineStr">
        <is>
          <t>慢慢渗进去</t>
        </is>
      </c>
      <c r="E872" s="8">
        <f>IFERROR(__xludf.DUMMYFUNCTION("GOOGLETRANSLATE(B872, ""zh"", ""vi"")"),"sự thâm nhập")</f>
        <v/>
      </c>
      <c r="F872" s="8" t="inlineStr">
        <is>
          <t>雨水慢慢渗透到土壤里。</t>
        </is>
      </c>
      <c r="H872" s="9">
        <f>G872=B872</f>
        <v/>
      </c>
    </row>
    <row r="873">
      <c r="A873" s="8" t="inlineStr">
        <is>
          <t>bài 19</t>
        </is>
      </c>
      <c r="B873" s="11" t="inlineStr">
        <is>
          <t>定义</t>
        </is>
      </c>
      <c r="C873" s="8">
        <f>pinyin(B873)</f>
        <v/>
      </c>
      <c r="D873" s="8" t="inlineStr">
        <is>
          <t>给东西下定义</t>
        </is>
      </c>
      <c r="E873" s="8">
        <f>IFERROR(__xludf.DUMMYFUNCTION("GOOGLETRANSLATE(B873, ""zh"", ""vi"")"),"sự định nghĩa")</f>
        <v/>
      </c>
      <c r="F873" s="8" t="inlineStr">
        <is>
          <t>字典给“幸福”下了定义。</t>
        </is>
      </c>
      <c r="H873" s="9">
        <f>G873=B873</f>
        <v/>
      </c>
    </row>
    <row r="874">
      <c r="A874" s="8" t="inlineStr">
        <is>
          <t>bài 19</t>
        </is>
      </c>
      <c r="B874" s="11" t="inlineStr">
        <is>
          <t>潜水</t>
        </is>
      </c>
      <c r="C874" s="8">
        <f>pinyin(B874)</f>
        <v/>
      </c>
      <c r="D874" s="8" t="inlineStr">
        <is>
          <t>潜到水下面</t>
        </is>
      </c>
      <c r="E874" s="8">
        <f>IFERROR(__xludf.DUMMYFUNCTION("GOOGLETRANSLATE(B874, ""zh"", ""vi"")"),"lặn")</f>
        <v/>
      </c>
      <c r="F874" s="8" t="inlineStr">
        <is>
          <t>他周末喜欢去潜水。</t>
        </is>
      </c>
      <c r="H874" s="9">
        <f>G874=B874</f>
        <v/>
      </c>
    </row>
    <row r="875">
      <c r="A875" s="8" t="inlineStr">
        <is>
          <t>bài 19</t>
        </is>
      </c>
      <c r="B875" s="11" t="inlineStr">
        <is>
          <t>繁殖</t>
        </is>
      </c>
      <c r="C875" s="8">
        <f>pinyin(B875)</f>
        <v/>
      </c>
      <c r="D875" s="8" t="inlineStr">
        <is>
          <t>生小宝宝</t>
        </is>
      </c>
      <c r="E875" s="8">
        <f>IFERROR(__xludf.DUMMYFUNCTION("GOOGLETRANSLATE(B875, ""zh"", ""vi"")"),"Sự sinh sản")</f>
        <v/>
      </c>
      <c r="F875" s="8" t="inlineStr">
        <is>
          <t>这些细菌繁殖得很快。</t>
        </is>
      </c>
      <c r="H875" s="9">
        <f>G875=B875</f>
        <v/>
      </c>
    </row>
    <row r="876">
      <c r="A876" s="8" t="inlineStr">
        <is>
          <t>bài 19</t>
        </is>
      </c>
      <c r="B876" s="11" t="inlineStr">
        <is>
          <t>场所</t>
        </is>
      </c>
      <c r="C876" s="8">
        <f>pinyin(B876)</f>
        <v/>
      </c>
      <c r="D876" s="8" t="inlineStr">
        <is>
          <t>活动的地方</t>
        </is>
      </c>
      <c r="E876" s="8">
        <f>IFERROR(__xludf.DUMMYFUNCTION("GOOGLETRANSLATE(B876, ""zh"", ""vi"")"),"địa điểm")</f>
        <v/>
      </c>
      <c r="F876" s="8" t="inlineStr">
        <is>
          <t>图书馆是学习的好场所。</t>
        </is>
      </c>
      <c r="H876" s="9">
        <f>G876=B876</f>
        <v/>
      </c>
    </row>
    <row r="877">
      <c r="A877" s="8" t="inlineStr">
        <is>
          <t>bài 19</t>
        </is>
      </c>
      <c r="B877" s="11" t="inlineStr">
        <is>
          <t>古怪</t>
        </is>
      </c>
      <c r="C877" s="8">
        <f>pinyin(B877)</f>
        <v/>
      </c>
      <c r="D877" s="8" t="inlineStr">
        <is>
          <t>很奇怪</t>
        </is>
      </c>
      <c r="E877" s="8">
        <f>IFERROR(__xludf.DUMMYFUNCTION("GOOGLETRANSLATE(B877, ""zh"", ""vi"")"),"lập dị")</f>
        <v/>
      </c>
      <c r="F877" s="8" t="inlineStr">
        <is>
          <t>这个人的性格很古怪。</t>
        </is>
      </c>
      <c r="H877" s="9">
        <f>G877=B877</f>
        <v/>
      </c>
    </row>
    <row r="878">
      <c r="A878" s="8" t="inlineStr">
        <is>
          <t>bài 19</t>
        </is>
      </c>
      <c r="B878" s="11" t="inlineStr">
        <is>
          <t>贝壳</t>
        </is>
      </c>
      <c r="C878" s="8">
        <f>pinyin(B878)</f>
        <v/>
      </c>
      <c r="D878" s="8" t="inlineStr">
        <is>
          <t>贝的硬壳</t>
        </is>
      </c>
      <c r="E878" s="8">
        <f>IFERROR(__xludf.DUMMYFUNCTION("GOOGLETRANSLATE(B878, ""zh"", ""vi"")"),"vỏ bọc")</f>
        <v/>
      </c>
      <c r="F878" s="8" t="inlineStr">
        <is>
          <t>海边有很多漂亮的贝壳。</t>
        </is>
      </c>
      <c r="H878" s="9">
        <f>G878=B878</f>
        <v/>
      </c>
    </row>
    <row r="879">
      <c r="A879" s="8" t="inlineStr">
        <is>
          <t>bài 19</t>
        </is>
      </c>
      <c r="B879" s="11" t="inlineStr">
        <is>
          <t>诧异</t>
        </is>
      </c>
      <c r="C879" s="8">
        <f>pinyin(B879)</f>
        <v/>
      </c>
      <c r="D879" s="8" t="inlineStr">
        <is>
          <t>觉得很奇怪</t>
        </is>
      </c>
      <c r="E879" s="8">
        <f>IFERROR(__xludf.DUMMYFUNCTION("GOOGLETRANSLATE(B879, ""zh"", ""vi"")"),"Ngạc nhiên")</f>
        <v/>
      </c>
      <c r="F879" s="8" t="inlineStr">
        <is>
          <t>我对他的行为感到诧异。</t>
        </is>
      </c>
      <c r="H879" s="9">
        <f>G879=B879</f>
        <v/>
      </c>
    </row>
    <row r="880">
      <c r="A880" s="8" t="inlineStr">
        <is>
          <t>bài 19</t>
        </is>
      </c>
      <c r="B880" s="11" t="inlineStr">
        <is>
          <t>细菌</t>
        </is>
      </c>
      <c r="C880" s="8">
        <f>pinyin(B880)</f>
        <v/>
      </c>
      <c r="D880" s="8" t="inlineStr">
        <is>
          <t>很小的细菌</t>
        </is>
      </c>
      <c r="E880" s="8">
        <f>IFERROR(__xludf.DUMMYFUNCTION("GOOGLETRANSLATE(B880, ""zh"", ""vi"")"),"vi khuẩn")</f>
        <v/>
      </c>
      <c r="F880" s="8" t="inlineStr">
        <is>
          <t>要经常洗手防止细菌。</t>
        </is>
      </c>
      <c r="H880" s="9">
        <f>G880=B880</f>
        <v/>
      </c>
    </row>
    <row r="881">
      <c r="A881" s="8" t="inlineStr">
        <is>
          <t>bài 19</t>
        </is>
      </c>
      <c r="B881" s="11" t="inlineStr">
        <is>
          <t>过滤</t>
        </is>
      </c>
      <c r="C881" s="8">
        <f>pinyin(B881)</f>
        <v/>
      </c>
      <c r="D881" s="8" t="inlineStr">
        <is>
          <t>把脏东西滤掉</t>
        </is>
      </c>
      <c r="E881" s="8">
        <f>IFERROR(__xludf.DUMMYFUNCTION("GOOGLETRANSLATE(B881, ""zh"", ""vi"")"),"lọc")</f>
        <v/>
      </c>
      <c r="F881" s="8" t="inlineStr">
        <is>
          <t>这个水要过滤后再喝。</t>
        </is>
      </c>
      <c r="H881" s="9">
        <f>G881=B881</f>
        <v/>
      </c>
    </row>
    <row r="882">
      <c r="A882" s="8" t="inlineStr">
        <is>
          <t>bài 19</t>
        </is>
      </c>
      <c r="B882" s="11" t="inlineStr">
        <is>
          <t>来源</t>
        </is>
      </c>
      <c r="C882" s="8">
        <f>pinyin(B882)</f>
        <v/>
      </c>
      <c r="D882" s="8" t="inlineStr">
        <is>
          <t>东西从哪里来</t>
        </is>
      </c>
      <c r="E882" s="8">
        <f>IFERROR(__xludf.DUMMYFUNCTION("GOOGLETRANSLATE(B882, ""zh"", ""vi"")"),"nguồn")</f>
        <v/>
      </c>
      <c r="F882" s="8" t="inlineStr">
        <is>
          <t>这条消息的来源不明。</t>
        </is>
      </c>
      <c r="H882" s="9">
        <f>G882=B882</f>
        <v/>
      </c>
    </row>
    <row r="883">
      <c r="A883" s="8" t="inlineStr">
        <is>
          <t>bài 19</t>
        </is>
      </c>
      <c r="B883" s="11" t="inlineStr">
        <is>
          <t>合成</t>
        </is>
      </c>
      <c r="C883" s="8">
        <f>pinyin(B883)</f>
        <v/>
      </c>
      <c r="D883" s="8" t="inlineStr">
        <is>
          <t>合在一起做新东西</t>
        </is>
      </c>
      <c r="E883" s="8">
        <f>IFERROR(__xludf.DUMMYFUNCTION("GOOGLETRANSLATE(B883, ""zh"", ""vi"")"),"tổng hợp")</f>
        <v/>
      </c>
      <c r="F883" s="8" t="inlineStr">
        <is>
          <t>这两种材料可以合成新产品。</t>
        </is>
      </c>
      <c r="H883" s="9">
        <f>G883=B883</f>
        <v/>
      </c>
    </row>
    <row r="884">
      <c r="A884" s="8" t="inlineStr">
        <is>
          <t>bài 19</t>
        </is>
      </c>
      <c r="B884" s="11" t="inlineStr">
        <is>
          <t>解放</t>
        </is>
      </c>
      <c r="C884" s="8">
        <f>pinyin(B884)</f>
        <v/>
      </c>
      <c r="D884" s="8" t="inlineStr">
        <is>
          <t>解除束缚</t>
        </is>
      </c>
      <c r="E884" s="8">
        <f>IFERROR(__xludf.DUMMYFUNCTION("GOOGLETRANSLATE(B884, ""zh"", ""vi"")"),"giải phóng")</f>
        <v/>
      </c>
      <c r="F884" s="8" t="inlineStr">
        <is>
          <t>1949年解放了全中国。</t>
        </is>
      </c>
      <c r="H884" s="9">
        <f>G884=B884</f>
        <v/>
      </c>
    </row>
    <row r="885">
      <c r="A885" s="8" t="inlineStr">
        <is>
          <t>bài 19</t>
        </is>
      </c>
      <c r="B885" s="11" t="inlineStr">
        <is>
          <t>迈</t>
        </is>
      </c>
      <c r="C885" s="8">
        <f>pinyin(B885)</f>
        <v/>
      </c>
      <c r="D885" s="8" t="inlineStr">
        <is>
          <t>往前走一步</t>
        </is>
      </c>
      <c r="E885" s="8">
        <f>IFERROR(__xludf.DUMMYFUNCTION("GOOGLETRANSLATE(B885, ""zh"", ""vi"")"),"Mai")</f>
        <v/>
      </c>
      <c r="F885" s="8" t="inlineStr">
        <is>
          <t>迈开大步向前走。</t>
        </is>
      </c>
      <c r="H885" s="9">
        <f>G885=B885</f>
        <v/>
      </c>
    </row>
    <row r="886">
      <c r="A886" s="8" t="inlineStr">
        <is>
          <t>bài 19</t>
        </is>
      </c>
      <c r="B886" s="11" t="inlineStr">
        <is>
          <t>探索</t>
        </is>
      </c>
      <c r="C886" s="8">
        <f>pinyin(B886)</f>
        <v/>
      </c>
      <c r="D886" s="8" t="inlineStr">
        <is>
          <t>去找答案</t>
        </is>
      </c>
      <c r="E886" s="8">
        <f>IFERROR(__xludf.DUMMYFUNCTION("GOOGLETRANSLATE(B886, ""zh"", ""vi"")"),"khám phá")</f>
        <v/>
      </c>
      <c r="F886" s="8" t="inlineStr">
        <is>
          <t>科学家正在探索宇宙的秘密。</t>
        </is>
      </c>
      <c r="H886" s="9">
        <f>G886=B886</f>
        <v/>
      </c>
    </row>
    <row r="887">
      <c r="A887" s="8" t="inlineStr">
        <is>
          <t>bài 19</t>
        </is>
      </c>
      <c r="B887" s="11" t="inlineStr">
        <is>
          <t>据悉</t>
        </is>
      </c>
      <c r="C887" s="8">
        <f>pinyin(B887)</f>
        <v/>
      </c>
      <c r="D887" s="8" t="inlineStr">
        <is>
          <t>根据听到的消息</t>
        </is>
      </c>
      <c r="E887" s="8">
        <f>IFERROR(__xludf.DUMMYFUNCTION("GOOGLETRANSLATE(B887, ""zh"", ""vi"")"),"Theo các nguồn tin,")</f>
        <v/>
      </c>
      <c r="F887" s="8" t="inlineStr">
        <is>
          <t>据悉台风明天会来。</t>
        </is>
      </c>
      <c r="H887" s="9">
        <f>G887=B887</f>
        <v/>
      </c>
    </row>
    <row r="888">
      <c r="A888" s="8" t="inlineStr">
        <is>
          <t>bài 19</t>
        </is>
      </c>
      <c r="B888" s="11" t="inlineStr">
        <is>
          <t>忍受</t>
        </is>
      </c>
      <c r="C888" s="8">
        <f>pinyin(B888)</f>
        <v/>
      </c>
      <c r="D888" s="8" t="inlineStr">
        <is>
          <t>忍住不舒服</t>
        </is>
      </c>
      <c r="E888" s="8">
        <f>IFERROR(__xludf.DUMMYFUNCTION("GOOGLETRANSLATE(B888, ""zh"", ""vi"")"),"Con gấu")</f>
        <v/>
      </c>
      <c r="F888" s="8" t="inlineStr">
        <is>
          <t>他忍受不了这种痛苦。</t>
        </is>
      </c>
      <c r="H888" s="9">
        <f>G888=B888</f>
        <v/>
      </c>
    </row>
    <row r="889">
      <c r="A889" s="8" t="inlineStr">
        <is>
          <t>bài 19</t>
        </is>
      </c>
      <c r="B889" s="11" t="inlineStr">
        <is>
          <t>超越</t>
        </is>
      </c>
      <c r="C889" s="8">
        <f>pinyin(B889)</f>
        <v/>
      </c>
      <c r="D889" s="8" t="inlineStr">
        <is>
          <t>超过别人</t>
        </is>
      </c>
      <c r="E889" s="8">
        <f>IFERROR(__xludf.DUMMYFUNCTION("GOOGLETRANSLATE(B889, ""zh"", ""vi"")"),"Vượt ra")</f>
        <v/>
      </c>
      <c r="F889" s="8" t="inlineStr">
        <is>
          <t>他的成绩已经超越了别人。</t>
        </is>
      </c>
      <c r="H889" s="9">
        <f>G889=B889</f>
        <v/>
      </c>
    </row>
    <row r="890">
      <c r="A890" s="8" t="inlineStr">
        <is>
          <t>bài 19</t>
        </is>
      </c>
      <c r="B890" s="11" t="inlineStr">
        <is>
          <t>摄氏度</t>
        </is>
      </c>
      <c r="C890" s="8">
        <f>pinyin(B890)</f>
        <v/>
      </c>
      <c r="D890" s="8" t="inlineStr">
        <is>
          <t>温度的单位</t>
        </is>
      </c>
      <c r="E890" s="8">
        <f>IFERROR(__xludf.DUMMYFUNCTION("GOOGLETRANSLATE(B890, ""zh"", ""vi"")"),"Độ C")</f>
        <v/>
      </c>
      <c r="F890" s="8" t="inlineStr">
        <is>
          <t>今天气温高达38摄氏度。</t>
        </is>
      </c>
      <c r="H890" s="9">
        <f>G890=B890</f>
        <v/>
      </c>
    </row>
    <row r="891">
      <c r="A891" s="8" t="inlineStr">
        <is>
          <t>bài 19</t>
        </is>
      </c>
      <c r="B891" s="11" t="inlineStr">
        <is>
          <t>丧失</t>
        </is>
      </c>
      <c r="C891" s="8">
        <f>pinyin(B891)</f>
        <v/>
      </c>
      <c r="D891" s="8" t="inlineStr">
        <is>
          <t>失去东西</t>
        </is>
      </c>
      <c r="E891" s="8">
        <f>IFERROR(__xludf.DUMMYFUNCTION("GOOGLETRANSLATE(B891, ""zh"", ""vi"")"),"sự mất mát")</f>
        <v/>
      </c>
      <c r="F891" s="8" t="inlineStr">
        <is>
          <t>他因为粗心丧失了机会。</t>
        </is>
      </c>
      <c r="H891" s="9">
        <f>G891=B891</f>
        <v/>
      </c>
    </row>
    <row r="892">
      <c r="A892" s="8" t="inlineStr">
        <is>
          <t>bài 19</t>
        </is>
      </c>
      <c r="B892" s="11" t="inlineStr">
        <is>
          <t>偏偏</t>
        </is>
      </c>
      <c r="C892" s="8">
        <f>pinyin(B892)</f>
        <v/>
      </c>
      <c r="D892" s="8" t="inlineStr">
        <is>
          <t>偏偏不听话</t>
        </is>
      </c>
      <c r="E892" s="8">
        <f>IFERROR(__xludf.DUMMYFUNCTION("GOOGLETRANSLATE(B892, ""zh"", ""vi"")"),"Nhưng")</f>
        <v/>
      </c>
      <c r="F892" s="8" t="inlineStr">
        <is>
          <t>大家都劝他别去，他偏偏要去。</t>
        </is>
      </c>
      <c r="H892" s="9">
        <f>G892=B892</f>
        <v/>
      </c>
    </row>
    <row r="893">
      <c r="A893" s="8" t="inlineStr">
        <is>
          <t>bài 19</t>
        </is>
      </c>
      <c r="B893" s="11" t="inlineStr">
        <is>
          <t>真相</t>
        </is>
      </c>
      <c r="C893" s="8">
        <f>pinyin(B893)</f>
        <v/>
      </c>
      <c r="D893" s="8" t="inlineStr">
        <is>
          <t>真实的情况</t>
        </is>
      </c>
      <c r="E893" s="8">
        <f>IFERROR(__xludf.DUMMYFUNCTION("GOOGLETRANSLATE(B893, ""zh"", ""vi"")"),"sự thật")</f>
        <v/>
      </c>
      <c r="F893" s="8" t="inlineStr">
        <is>
          <t>我们要查清事情的真相。</t>
        </is>
      </c>
      <c r="H893" s="9">
        <f>G893=B893</f>
        <v/>
      </c>
    </row>
    <row r="894">
      <c r="A894" s="8" t="inlineStr">
        <is>
          <t>bài 19</t>
        </is>
      </c>
      <c r="B894" s="11" t="inlineStr">
        <is>
          <t>华丽</t>
        </is>
      </c>
      <c r="C894" s="8">
        <f>pinyin(B894)</f>
        <v/>
      </c>
      <c r="D894" s="8" t="inlineStr">
        <is>
          <t>很漂亮</t>
        </is>
      </c>
      <c r="E894" s="8">
        <f>IFERROR(__xludf.DUMMYFUNCTION("GOOGLETRANSLATE(B894, ""zh"", ""vi"")"),"lộng lẫy")</f>
        <v/>
      </c>
      <c r="F894" s="8" t="inlineStr">
        <is>
          <t>这件衣服穿起来很华丽。</t>
        </is>
      </c>
      <c r="H894" s="9">
        <f>G894=B894</f>
        <v/>
      </c>
    </row>
    <row r="895">
      <c r="A895" s="8" t="inlineStr">
        <is>
          <t>bài 19</t>
        </is>
      </c>
      <c r="B895" s="11" t="inlineStr">
        <is>
          <t>阵容</t>
        </is>
      </c>
      <c r="C895" s="8">
        <f>pinyin(B895)</f>
        <v/>
      </c>
      <c r="D895" s="8" t="inlineStr">
        <is>
          <t>队伍的配置</t>
        </is>
      </c>
      <c r="E895" s="8">
        <f>IFERROR(__xludf.DUMMYFUNCTION("GOOGLETRANSLATE(B895, ""zh"", ""vi"")"),"đội hình")</f>
        <v/>
      </c>
      <c r="F895" s="8" t="inlineStr">
        <is>
          <t>我们队的阵容很强大。</t>
        </is>
      </c>
      <c r="H895" s="9">
        <f>G895=B895</f>
        <v/>
      </c>
    </row>
    <row r="896">
      <c r="A896" s="8" t="inlineStr">
        <is>
          <t>bài 19</t>
        </is>
      </c>
      <c r="B896" s="11" t="inlineStr">
        <is>
          <t>有条不紊</t>
        </is>
      </c>
      <c r="C896" s="8">
        <f>pinyin(B896)</f>
        <v/>
      </c>
      <c r="D896" s="8" t="inlineStr">
        <is>
          <t>做事很有条理</t>
        </is>
      </c>
      <c r="E896" s="8">
        <f>IFERROR(__xludf.DUMMYFUNCTION("GOOGLETRANSLATE(B896, ""zh"", ""vi"")"),"có phương pháp")</f>
        <v/>
      </c>
      <c r="F896" s="8" t="inlineStr">
        <is>
          <t>他做事一直有条不紊。</t>
        </is>
      </c>
      <c r="H896" s="9">
        <f>G896=B896</f>
        <v/>
      </c>
    </row>
    <row r="897">
      <c r="A897" s="8" t="inlineStr">
        <is>
          <t>bài 19</t>
        </is>
      </c>
      <c r="B897" s="11" t="inlineStr">
        <is>
          <t>展现</t>
        </is>
      </c>
      <c r="C897" s="8">
        <f>pinyin(B897)</f>
        <v/>
      </c>
      <c r="D897" s="8" t="inlineStr">
        <is>
          <t>表现出来</t>
        </is>
      </c>
      <c r="E897" s="8">
        <f>IFERROR(__xludf.DUMMYFUNCTION("GOOGLETRANSLATE(B897, ""zh"", ""vi"")"),"Trình diễn")</f>
        <v/>
      </c>
      <c r="F897" s="8" t="inlineStr">
        <is>
          <t>他的才能终于展现出来了。</t>
        </is>
      </c>
      <c r="H897" s="9">
        <f>G897=B897</f>
        <v/>
      </c>
    </row>
    <row r="898">
      <c r="A898" s="8" t="inlineStr">
        <is>
          <t>bài 19</t>
        </is>
      </c>
      <c r="B898" s="11" t="inlineStr">
        <is>
          <t>丛</t>
        </is>
      </c>
      <c r="C898" s="8">
        <f>pinyin(B898)</f>
        <v/>
      </c>
      <c r="D898" s="8" t="inlineStr">
        <is>
          <t>一堆长在一起</t>
        </is>
      </c>
      <c r="E898" s="8">
        <f>IFERROR(__xludf.DUMMYFUNCTION("GOOGLETRANSLATE(B898, ""zh"", ""vi"")"),"Quốc hội")</f>
        <v/>
      </c>
      <c r="F898" s="8" t="inlineStr">
        <is>
          <t>山上有一丛野花。</t>
        </is>
      </c>
      <c r="H898" s="9">
        <f>G898=B898</f>
        <v/>
      </c>
    </row>
    <row r="899">
      <c r="A899" s="8" t="inlineStr">
        <is>
          <t>bài 19</t>
        </is>
      </c>
      <c r="B899" s="11" t="inlineStr">
        <is>
          <t>体积</t>
        </is>
      </c>
      <c r="C899" s="8">
        <f>pinyin(B899)</f>
        <v/>
      </c>
      <c r="D899" s="8" t="inlineStr">
        <is>
          <t>东西的大小</t>
        </is>
      </c>
      <c r="E899" s="8">
        <f>IFERROR(__xludf.DUMMYFUNCTION("GOOGLETRANSLATE(B899, ""zh"", ""vi"")"),"âm lượng")</f>
        <v/>
      </c>
      <c r="F899" s="8" t="inlineStr">
        <is>
          <t>这个箱子的体积很大。</t>
        </is>
      </c>
      <c r="H899" s="9">
        <f>G899=B899</f>
        <v/>
      </c>
    </row>
    <row r="900">
      <c r="A900" s="8" t="inlineStr">
        <is>
          <t>bài 19</t>
        </is>
      </c>
      <c r="B900" s="11" t="inlineStr">
        <is>
          <t>造型</t>
        </is>
      </c>
      <c r="C900" s="8">
        <f>pinyin(B900)</f>
        <v/>
      </c>
      <c r="D900" s="8" t="inlineStr">
        <is>
          <t>东西的样子</t>
        </is>
      </c>
      <c r="E900" s="8">
        <f>IFERROR(__xludf.DUMMYFUNCTION("GOOGLETRANSLATE(B900, ""zh"", ""vi"")"),"mô hình hóa")</f>
        <v/>
      </c>
      <c r="F900" s="8" t="inlineStr">
        <is>
          <t>这个雕塑的造型很特别。</t>
        </is>
      </c>
      <c r="H900" s="9">
        <f>G900=B900</f>
        <v/>
      </c>
    </row>
    <row r="901">
      <c r="A901" s="8" t="inlineStr">
        <is>
          <t>bài 19</t>
        </is>
      </c>
      <c r="B901" s="11" t="inlineStr">
        <is>
          <t>迷惑</t>
        </is>
      </c>
      <c r="C901" s="8">
        <f>pinyin(B901)</f>
        <v/>
      </c>
      <c r="D901" s="8" t="inlineStr">
        <is>
          <t>搞不清楚</t>
        </is>
      </c>
      <c r="E901" s="8">
        <f>IFERROR(__xludf.DUMMYFUNCTION("GOOGLETRANSLATE(B901, ""zh"", ""vi"")"),"bối rối")</f>
        <v/>
      </c>
      <c r="F901" s="8" t="inlineStr">
        <is>
          <t>我对这个问题感到迷惑。</t>
        </is>
      </c>
      <c r="H901" s="9">
        <f>G901=B901</f>
        <v/>
      </c>
    </row>
    <row r="902">
      <c r="A902" s="8" t="inlineStr">
        <is>
          <t>bài 19</t>
        </is>
      </c>
      <c r="B902" s="11" t="inlineStr">
        <is>
          <t>奇妙</t>
        </is>
      </c>
      <c r="C902" s="8">
        <f>pinyin(B902)</f>
        <v/>
      </c>
      <c r="D902" s="8" t="inlineStr">
        <is>
          <t>很奇妙</t>
        </is>
      </c>
      <c r="E902" s="8">
        <f>IFERROR(__xludf.DUMMYFUNCTION("GOOGLETRANSLATE(B902, ""zh"", ""vi"")"),"tuyệt vời")</f>
        <v/>
      </c>
      <c r="F902" s="8" t="inlineStr">
        <is>
          <t>海底世界非常奇妙。</t>
        </is>
      </c>
      <c r="H902" s="9">
        <f>G902=B902</f>
        <v/>
      </c>
    </row>
    <row r="903">
      <c r="A903" s="8" t="inlineStr">
        <is>
          <t>bài 19</t>
        </is>
      </c>
      <c r="B903" s="11" t="inlineStr">
        <is>
          <t>广阔</t>
        </is>
      </c>
      <c r="C903" s="8">
        <f>pinyin(B903)</f>
        <v/>
      </c>
      <c r="D903" s="8" t="inlineStr">
        <is>
          <t>很大很宽</t>
        </is>
      </c>
      <c r="E903" s="8">
        <f>IFERROR(__xludf.DUMMYFUNCTION("GOOGLETRANSLATE(B903, ""zh"", ""vi"")"),"rộng")</f>
        <v/>
      </c>
      <c r="F903" s="8" t="inlineStr">
        <is>
          <t>这片草原非常广阔。</t>
        </is>
      </c>
      <c r="H903" s="9">
        <f>G903=B903</f>
        <v/>
      </c>
    </row>
    <row r="904">
      <c r="A904" s="8" t="inlineStr">
        <is>
          <t>bài 19</t>
        </is>
      </c>
      <c r="B904" s="11" t="inlineStr">
        <is>
          <t>基地</t>
        </is>
      </c>
      <c r="C904" s="8">
        <f>pinyin(B904)</f>
        <v/>
      </c>
      <c r="D904" s="8" t="inlineStr">
        <is>
          <t>做事情的基地</t>
        </is>
      </c>
      <c r="E904" s="8">
        <f>IFERROR(__xludf.DUMMYFUNCTION("GOOGLETRANSLATE(B904, ""zh"", ""vi"")"),"căn cứ")</f>
        <v/>
      </c>
      <c r="F904" s="8" t="inlineStr">
        <is>
          <t>这里是科学研究基地。</t>
        </is>
      </c>
      <c r="H904" s="9">
        <f>G904=B904</f>
        <v/>
      </c>
    </row>
    <row r="905">
      <c r="A905" s="8" t="inlineStr">
        <is>
          <t>bài 20</t>
        </is>
      </c>
      <c r="B905" s="11" t="inlineStr">
        <is>
          <t>勤俭</t>
        </is>
      </c>
      <c r="C905" s="8">
        <f>pinyin(B905)</f>
        <v/>
      </c>
      <c r="D905" s="8" t="inlineStr">
        <is>
          <t>拿来做样子的东西</t>
        </is>
      </c>
      <c r="E905" s="8">
        <f>IFERROR(__xludf.DUMMYFUNCTION("GOOGLETRANSLATE(B905, ""zh"", ""vi"")"),"tiết kiệm")</f>
        <v/>
      </c>
      <c r="F905" s="8" t="inlineStr">
        <is>
          <t>这部手机只是样品，不能卖。</t>
        </is>
      </c>
      <c r="H905" s="9">
        <f>G905=B905</f>
        <v/>
      </c>
    </row>
    <row r="906">
      <c r="A906" s="8" t="inlineStr">
        <is>
          <t>bài 20</t>
        </is>
      </c>
      <c r="B906" s="11" t="inlineStr">
        <is>
          <t>农历</t>
        </is>
      </c>
      <c r="C906" s="8">
        <f>pinyin(B906)</f>
        <v/>
      </c>
      <c r="D906" s="8" t="inlineStr">
        <is>
          <t>用尖东西扎</t>
        </is>
      </c>
      <c r="E906" s="8">
        <f>IFERROR(__xludf.DUMMYFUNCTION("GOOGLETRANSLATE(B906, ""zh"", ""vi"")"),"lịch âm lịch")</f>
        <v/>
      </c>
      <c r="F906" s="8" t="inlineStr">
        <is>
          <t>小心别被蜜蜂刺到。</t>
        </is>
      </c>
      <c r="H906" s="9">
        <f>G906=B906</f>
        <v/>
      </c>
    </row>
    <row r="907">
      <c r="A907" s="8" t="inlineStr">
        <is>
          <t>bài 20</t>
        </is>
      </c>
      <c r="B907" s="11" t="inlineStr">
        <is>
          <t>将近</t>
        </is>
      </c>
      <c r="C907" s="8">
        <f>pinyin(B907)</f>
        <v/>
      </c>
      <c r="D907" s="8" t="inlineStr">
        <is>
          <t>鼻子闻到的味道</t>
        </is>
      </c>
      <c r="E907" s="8">
        <f>IFERROR(__xludf.DUMMYFUNCTION("GOOGLETRANSLATE(B907, ""zh"", ""vi"")"),"gần như")</f>
        <v/>
      </c>
      <c r="F907" s="8" t="inlineStr">
        <is>
          <t>这房间有很难闻的气味。</t>
        </is>
      </c>
      <c r="H907" s="9">
        <f>G907=B907</f>
        <v/>
      </c>
    </row>
    <row r="908">
      <c r="A908" s="8" t="inlineStr">
        <is>
          <t>bài 20</t>
        </is>
      </c>
      <c r="B908" s="11" t="inlineStr">
        <is>
          <t>况且</t>
        </is>
      </c>
      <c r="C908" s="8">
        <f>pinyin(B908)</f>
        <v/>
      </c>
      <c r="D908" s="8" t="inlineStr">
        <is>
          <t>突然明白了</t>
        </is>
      </c>
      <c r="E908" s="8">
        <f>IFERROR(__xludf.DUMMYFUNCTION("GOOGLETRANSLATE(B908, ""zh"", ""vi"")"),"Hơn thế nữa")</f>
        <v/>
      </c>
      <c r="F908" s="8" t="inlineStr">
        <is>
          <t>听了他的解释，我恍然大悟。</t>
        </is>
      </c>
      <c r="H908" s="9">
        <f>G908=B908</f>
        <v/>
      </c>
    </row>
    <row r="909">
      <c r="A909" s="8" t="inlineStr">
        <is>
          <t>bài 20</t>
        </is>
      </c>
      <c r="B909" s="11" t="inlineStr">
        <is>
          <t>乌黑</t>
        </is>
      </c>
      <c r="C909" s="8">
        <f>pinyin(B909)</f>
        <v/>
      </c>
      <c r="D909" s="8" t="inlineStr">
        <is>
          <t>再进一步</t>
        </is>
      </c>
      <c r="E909" s="8">
        <f>IFERROR(__xludf.DUMMYFUNCTION("GOOGLETRANSLATE(B909, ""zh"", ""vi"")"),"đen tuyền")</f>
        <v/>
      </c>
      <c r="F909" s="8" t="inlineStr">
        <is>
          <t>先学好基础知识，进而才能创新。</t>
        </is>
      </c>
      <c r="H909" s="9">
        <f>G909=B909</f>
        <v/>
      </c>
    </row>
    <row r="910">
      <c r="A910" s="8" t="inlineStr">
        <is>
          <t>bài 20</t>
        </is>
      </c>
      <c r="B910" s="11" t="inlineStr">
        <is>
          <t>跟随</t>
        </is>
      </c>
      <c r="C910" s="8">
        <f>pinyin(B910)</f>
        <v/>
      </c>
      <c r="D910" s="8" t="inlineStr">
        <is>
          <t>分开裂开</t>
        </is>
      </c>
      <c r="E910" s="8">
        <f>IFERROR(__xludf.DUMMYFUNCTION("GOOGLETRANSLATE(B910, ""zh"", ""vi"")"),"theo")</f>
        <v/>
      </c>
      <c r="F910" s="8" t="inlineStr">
        <is>
          <t>细胞分裂后才能生长。</t>
        </is>
      </c>
      <c r="H910" s="9">
        <f>G910=B910</f>
        <v/>
      </c>
    </row>
    <row r="911">
      <c r="A911" s="8" t="inlineStr">
        <is>
          <t>bài 20</t>
        </is>
      </c>
      <c r="B911" s="11" t="inlineStr">
        <is>
          <t>寻觅</t>
        </is>
      </c>
      <c r="C911" s="8">
        <f>pinyin(B911)</f>
        <v/>
      </c>
      <c r="D911" s="8" t="inlineStr">
        <is>
          <t>慢慢渗进去</t>
        </is>
      </c>
      <c r="E911" s="8">
        <f>IFERROR(__xludf.DUMMYFUNCTION("GOOGLETRANSLATE(B911, ""zh"", ""vi"")"),"Tìm kiếm")</f>
        <v/>
      </c>
      <c r="F911" s="8" t="inlineStr">
        <is>
          <t>雨水慢慢渗透到土壤里。</t>
        </is>
      </c>
      <c r="H911" s="9">
        <f>G911=B911</f>
        <v/>
      </c>
    </row>
    <row r="912">
      <c r="A912" s="8" t="inlineStr">
        <is>
          <t>bài 20</t>
        </is>
      </c>
      <c r="B912" s="11" t="inlineStr">
        <is>
          <t>美观</t>
        </is>
      </c>
      <c r="C912" s="8">
        <f>pinyin(B912)</f>
        <v/>
      </c>
      <c r="D912" s="8" t="inlineStr">
        <is>
          <t>给东西下定义</t>
        </is>
      </c>
      <c r="E912" s="8">
        <f>IFERROR(__xludf.DUMMYFUNCTION("GOOGLETRANSLATE(B912, ""zh"", ""vi"")"),"Đẹp mắt")</f>
        <v/>
      </c>
      <c r="F912" s="8" t="inlineStr">
        <is>
          <t>字典给“幸福”下了定义。</t>
        </is>
      </c>
      <c r="H912" s="9">
        <f>G912=B912</f>
        <v/>
      </c>
    </row>
    <row r="913">
      <c r="A913" s="8" t="inlineStr">
        <is>
          <t>bài 20</t>
        </is>
      </c>
      <c r="B913" s="11" t="inlineStr">
        <is>
          <t>别致</t>
        </is>
      </c>
      <c r="C913" s="8">
        <f>pinyin(B913)</f>
        <v/>
      </c>
      <c r="D913" s="8" t="inlineStr">
        <is>
          <t>潜到水下面</t>
        </is>
      </c>
      <c r="E913" s="8">
        <f>IFERROR(__xludf.DUMMYFUNCTION("GOOGLETRANSLATE(B913, ""zh"", ""vi"")"),"Độc nhất")</f>
        <v/>
      </c>
      <c r="F913" s="8" t="inlineStr">
        <is>
          <t>他周末喜欢去潜水。</t>
        </is>
      </c>
      <c r="H913" s="9">
        <f>G913=B913</f>
        <v/>
      </c>
    </row>
    <row r="914">
      <c r="A914" s="8" t="inlineStr">
        <is>
          <t>bài 20</t>
        </is>
      </c>
      <c r="B914" s="11" t="inlineStr">
        <is>
          <t>浸泡</t>
        </is>
      </c>
      <c r="C914" s="8">
        <f>pinyin(B914)</f>
        <v/>
      </c>
      <c r="D914" s="8" t="inlineStr">
        <is>
          <t>生小宝宝</t>
        </is>
      </c>
      <c r="E914" s="8">
        <f>IFERROR(__xludf.DUMMYFUNCTION("GOOGLETRANSLATE(B914, ""zh"", ""vi"")"),"ngâm")</f>
        <v/>
      </c>
      <c r="F914" s="8" t="inlineStr">
        <is>
          <t>这些细菌繁殖得很快。</t>
        </is>
      </c>
      <c r="H914" s="9">
        <f>G914=B914</f>
        <v/>
      </c>
    </row>
    <row r="915">
      <c r="A915" s="8" t="inlineStr">
        <is>
          <t>bài 20</t>
        </is>
      </c>
      <c r="B915" s="11" t="inlineStr">
        <is>
          <t>责怪</t>
        </is>
      </c>
      <c r="C915" s="8">
        <f>pinyin(B915)</f>
        <v/>
      </c>
      <c r="D915" s="8" t="inlineStr">
        <is>
          <t>活动的地方</t>
        </is>
      </c>
      <c r="E915" s="8">
        <f>IFERROR(__xludf.DUMMYFUNCTION("GOOGLETRANSLATE(B915, ""zh"", ""vi"")"),"Đổ tội")</f>
        <v/>
      </c>
      <c r="F915" s="8" t="inlineStr">
        <is>
          <t>图书馆是学习的好场所。</t>
        </is>
      </c>
      <c r="H915" s="9">
        <f>G915=B915</f>
        <v/>
      </c>
    </row>
    <row r="916">
      <c r="A916" s="8" t="inlineStr">
        <is>
          <t>bài 20</t>
        </is>
      </c>
      <c r="B916" s="11" t="inlineStr">
        <is>
          <t>嗨</t>
        </is>
      </c>
      <c r="C916" s="8">
        <f>pinyin(B916)</f>
        <v/>
      </c>
      <c r="D916" s="8" t="inlineStr">
        <is>
          <t>很奇怪</t>
        </is>
      </c>
      <c r="E916" s="8">
        <f>IFERROR(__xludf.DUMMYFUNCTION("GOOGLETRANSLATE(B916, ""zh"", ""vi"")"),"CHÀO")</f>
        <v/>
      </c>
      <c r="F916" s="8" t="inlineStr">
        <is>
          <t>这个人的性格很古怪。</t>
        </is>
      </c>
      <c r="H916" s="9">
        <f>G916=B916</f>
        <v/>
      </c>
    </row>
    <row r="917">
      <c r="A917" s="8" t="inlineStr">
        <is>
          <t>bài 20</t>
        </is>
      </c>
      <c r="B917" s="11" t="inlineStr">
        <is>
          <t>祖父</t>
        </is>
      </c>
      <c r="C917" s="8">
        <f>pinyin(B917)</f>
        <v/>
      </c>
      <c r="D917" s="8" t="inlineStr">
        <is>
          <t>贝的硬壳</t>
        </is>
      </c>
      <c r="E917" s="8">
        <f>IFERROR(__xludf.DUMMYFUNCTION("GOOGLETRANSLATE(B917, ""zh"", ""vi"")"),"ông nội")</f>
        <v/>
      </c>
      <c r="F917" s="8" t="inlineStr">
        <is>
          <t>海边有很多漂亮的贝壳。</t>
        </is>
      </c>
      <c r="H917" s="9">
        <f>G917=B917</f>
        <v/>
      </c>
    </row>
    <row r="918">
      <c r="A918" s="8" t="inlineStr">
        <is>
          <t>bài 20</t>
        </is>
      </c>
      <c r="B918" s="11" t="inlineStr">
        <is>
          <t>废寝忘食</t>
        </is>
      </c>
      <c r="C918" s="8">
        <f>pinyin(B918)</f>
        <v/>
      </c>
      <c r="D918" s="8" t="inlineStr">
        <is>
          <t>觉得很奇怪</t>
        </is>
      </c>
      <c r="E918" s="8">
        <f>IFERROR(__xludf.DUMMYFUNCTION("GOOGLETRANSLATE(B918, ""zh"", ""vi"")"),"Quên ăn và ngủ")</f>
        <v/>
      </c>
      <c r="F918" s="8" t="inlineStr">
        <is>
          <t>我对他的行为感到诧异。</t>
        </is>
      </c>
      <c r="H918" s="9">
        <f>G918=B918</f>
        <v/>
      </c>
    </row>
    <row r="919">
      <c r="A919" s="8" t="inlineStr">
        <is>
          <t>bài 20</t>
        </is>
      </c>
      <c r="B919" s="11" t="inlineStr">
        <is>
          <t>窝</t>
        </is>
      </c>
      <c r="C919" s="8">
        <f>pinyin(B919)</f>
        <v/>
      </c>
      <c r="D919" s="8" t="inlineStr">
        <is>
          <t>很小的细菌</t>
        </is>
      </c>
      <c r="E919" s="8">
        <f>IFERROR(__xludf.DUMMYFUNCTION("GOOGLETRANSLATE(B919, ""zh"", ""vi"")"),"tổ")</f>
        <v/>
      </c>
      <c r="F919" s="8" t="inlineStr">
        <is>
          <t>要经常洗手防止细菌。</t>
        </is>
      </c>
      <c r="H919" s="9">
        <f>G919=B919</f>
        <v/>
      </c>
    </row>
    <row r="920">
      <c r="A920" s="8" t="inlineStr">
        <is>
          <t>bài 20</t>
        </is>
      </c>
      <c r="B920" s="11" t="inlineStr">
        <is>
          <t>畔</t>
        </is>
      </c>
      <c r="C920" s="8">
        <f>pinyin(B920)</f>
        <v/>
      </c>
      <c r="D920" s="8" t="inlineStr">
        <is>
          <t>把脏东西滤掉</t>
        </is>
      </c>
      <c r="E920" s="8">
        <f>IFERROR(__xludf.DUMMYFUNCTION("GOOGLETRANSLATE(B920, ""zh"", ""vi"")"),"ngân hàng")</f>
        <v/>
      </c>
      <c r="F920" s="8" t="inlineStr">
        <is>
          <t>这个水要过滤后再喝。</t>
        </is>
      </c>
      <c r="H920" s="9">
        <f>G920=B920</f>
        <v/>
      </c>
    </row>
    <row r="921">
      <c r="A921" s="8" t="inlineStr">
        <is>
          <t>bài 20</t>
        </is>
      </c>
      <c r="B921" s="11" t="inlineStr">
        <is>
          <t>椭圆</t>
        </is>
      </c>
      <c r="C921" s="8">
        <f>pinyin(B921)</f>
        <v/>
      </c>
      <c r="D921" s="8" t="inlineStr">
        <is>
          <t>东西从哪里来</t>
        </is>
      </c>
      <c r="E921" s="8">
        <f>IFERROR(__xludf.DUMMYFUNCTION("GOOGLETRANSLATE(B921, ""zh"", ""vi"")"),"hình bầu dục")</f>
        <v/>
      </c>
      <c r="F921" s="8" t="inlineStr">
        <is>
          <t>这条消息的来源不明。</t>
        </is>
      </c>
      <c r="H921" s="9">
        <f>G921=B921</f>
        <v/>
      </c>
    </row>
    <row r="922">
      <c r="A922" s="8" t="inlineStr">
        <is>
          <t>bài 20</t>
        </is>
      </c>
      <c r="B922" s="11" t="inlineStr">
        <is>
          <t>外表</t>
        </is>
      </c>
      <c r="C922" s="8">
        <f>pinyin(B922)</f>
        <v/>
      </c>
      <c r="D922" s="8" t="inlineStr">
        <is>
          <t>合在一起做新东西</t>
        </is>
      </c>
      <c r="E922" s="8">
        <f>IFERROR(__xludf.DUMMYFUNCTION("GOOGLETRANSLATE(B922, ""zh"", ""vi"")"),"Vẻ bề ngoài")</f>
        <v/>
      </c>
      <c r="F922" s="8" t="inlineStr">
        <is>
          <t>这两种材料可以合成新产品。</t>
        </is>
      </c>
      <c r="H922" s="9">
        <f>G922=B922</f>
        <v/>
      </c>
    </row>
    <row r="923">
      <c r="A923" s="8" t="inlineStr">
        <is>
          <t>bài 20</t>
        </is>
      </c>
      <c r="B923" s="11" t="inlineStr">
        <is>
          <t>镶嵌</t>
        </is>
      </c>
      <c r="C923" s="8">
        <f>pinyin(B923)</f>
        <v/>
      </c>
      <c r="D923" s="8" t="inlineStr">
        <is>
          <t>解除束缚</t>
        </is>
      </c>
      <c r="E923" s="8">
        <f>IFERROR(__xludf.DUMMYFUNCTION("GOOGLETRANSLATE(B923, ""zh"", ""vi"")"),"tranh khảm")</f>
        <v/>
      </c>
      <c r="F923" s="8" t="inlineStr">
        <is>
          <t>1949年解放了全中国。</t>
        </is>
      </c>
      <c r="H923" s="9">
        <f>G923=B923</f>
        <v/>
      </c>
    </row>
    <row r="924">
      <c r="A924" s="8" t="inlineStr">
        <is>
          <t>bài 20</t>
        </is>
      </c>
      <c r="B924" s="11" t="inlineStr">
        <is>
          <t>坚硬</t>
        </is>
      </c>
      <c r="C924" s="8">
        <f>pinyin(B924)</f>
        <v/>
      </c>
      <c r="D924" s="8" t="inlineStr">
        <is>
          <t>迈步前进</t>
        </is>
      </c>
      <c r="E924" s="8">
        <f>IFERROR(__xludf.DUMMYFUNCTION("GOOGLETRANSLATE(B924, ""zh"", ""vi"")"),"cứng")</f>
        <v/>
      </c>
      <c r="F924" s="8" t="inlineStr">
        <is>
          <t>迈开大步向前走。</t>
        </is>
      </c>
      <c r="H924" s="9">
        <f>G924=B924</f>
        <v/>
      </c>
    </row>
    <row r="925">
      <c r="A925" s="8" t="inlineStr">
        <is>
          <t>bài 20</t>
        </is>
      </c>
      <c r="B925" s="11" t="inlineStr">
        <is>
          <t>工艺品</t>
        </is>
      </c>
      <c r="C925" s="8">
        <f>pinyin(B925)</f>
        <v/>
      </c>
      <c r="D925" s="8" t="inlineStr">
        <is>
          <t>去找答案</t>
        </is>
      </c>
      <c r="E925" s="8">
        <f>IFERROR(__xludf.DUMMYFUNCTION("GOOGLETRANSLATE(B925, ""zh"", ""vi"")"),"đồ thủ công mỹ nghệ")</f>
        <v/>
      </c>
      <c r="F925" s="8" t="inlineStr">
        <is>
          <t>科学家正在探索宇宙的秘密。</t>
        </is>
      </c>
      <c r="H925" s="9">
        <f>G925=B925</f>
        <v/>
      </c>
    </row>
    <row r="926">
      <c r="A926" s="8" t="inlineStr">
        <is>
          <t>bài 20</t>
        </is>
      </c>
      <c r="B926" s="11" t="inlineStr">
        <is>
          <t>砸</t>
        </is>
      </c>
      <c r="C926" s="8">
        <f>pinyin(B926)</f>
        <v/>
      </c>
      <c r="D926" s="8" t="inlineStr">
        <is>
          <t>根据听到的消息</t>
        </is>
      </c>
      <c r="E926" s="8">
        <f>IFERROR(__xludf.DUMMYFUNCTION("GOOGLETRANSLATE(B926, ""zh"", ""vi"")"),"Đập vỡ")</f>
        <v/>
      </c>
      <c r="F926" s="8" t="inlineStr">
        <is>
          <t>据悉台风明天会来。</t>
        </is>
      </c>
      <c r="H926" s="9">
        <f>G926=B926</f>
        <v/>
      </c>
    </row>
    <row r="927">
      <c r="A927" s="8" t="inlineStr">
        <is>
          <t>bài 20</t>
        </is>
      </c>
      <c r="B927" s="11" t="inlineStr">
        <is>
          <t>膝盖</t>
        </is>
      </c>
      <c r="C927" s="8">
        <f>pinyin(B927)</f>
        <v/>
      </c>
      <c r="D927" s="8" t="inlineStr">
        <is>
          <t>忍住不舒服</t>
        </is>
      </c>
      <c r="E927" s="8">
        <f>IFERROR(__xludf.DUMMYFUNCTION("GOOGLETRANSLATE(B927, ""zh"", ""vi"")"),"đầu gối")</f>
        <v/>
      </c>
      <c r="F927" s="8" t="inlineStr">
        <is>
          <t>他忍受不了这种痛苦。</t>
        </is>
      </c>
      <c r="H927" s="9">
        <f>G927=B927</f>
        <v/>
      </c>
    </row>
    <row r="928">
      <c r="A928" s="8" t="inlineStr">
        <is>
          <t>bài 20</t>
        </is>
      </c>
      <c r="B928" s="11" t="inlineStr">
        <is>
          <t>枝</t>
        </is>
      </c>
      <c r="C928" s="8">
        <f>pinyin(B928)</f>
        <v/>
      </c>
      <c r="D928" s="8" t="inlineStr">
        <is>
          <t>超过别人</t>
        </is>
      </c>
      <c r="E928" s="8">
        <f>IFERROR(__xludf.DUMMYFUNCTION("GOOGLETRANSLATE(B928, ""zh"", ""vi"")"),"chi nhánh")</f>
        <v/>
      </c>
      <c r="F928" s="8" t="inlineStr">
        <is>
          <t>他的成绩已经超越了别人。</t>
        </is>
      </c>
      <c r="H928" s="9">
        <f>G928=B928</f>
        <v/>
      </c>
    </row>
    <row r="929">
      <c r="A929" s="8" t="inlineStr">
        <is>
          <t>bài 20</t>
        </is>
      </c>
      <c r="B929" s="11" t="inlineStr">
        <is>
          <t>拐杖</t>
        </is>
      </c>
      <c r="C929" s="8">
        <f>pinyin(B929)</f>
        <v/>
      </c>
      <c r="D929" s="8" t="inlineStr">
        <is>
          <t>温度的单位</t>
        </is>
      </c>
      <c r="E929" s="8">
        <f>IFERROR(__xludf.DUMMYFUNCTION("GOOGLETRANSLATE(B929, ""zh"", ""vi"")"),"nạng")</f>
        <v/>
      </c>
      <c r="F929" s="8" t="inlineStr">
        <is>
          <t>今天气温高达38摄氏度。</t>
        </is>
      </c>
      <c r="H929" s="9">
        <f>G929=B929</f>
        <v/>
      </c>
    </row>
    <row r="930">
      <c r="A930" s="8" t="inlineStr">
        <is>
          <t>bài 20</t>
        </is>
      </c>
      <c r="B930" s="11" t="inlineStr">
        <is>
          <t>拄</t>
        </is>
      </c>
      <c r="C930" s="8">
        <f>pinyin(B930)</f>
        <v/>
      </c>
      <c r="D930" s="8" t="inlineStr">
        <is>
          <t>失去东西</t>
        </is>
      </c>
      <c r="E930" s="8">
        <f>IFERROR(__xludf.DUMMYFUNCTION("GOOGLETRANSLATE(B930, ""zh"", ""vi"")"),"ủng hộ")</f>
        <v/>
      </c>
      <c r="F930" s="8" t="inlineStr">
        <is>
          <t>他因为粗心丧失了机会。</t>
        </is>
      </c>
      <c r="H930" s="9">
        <f>G930=B930</f>
        <v/>
      </c>
    </row>
    <row r="931">
      <c r="A931" s="8" t="inlineStr">
        <is>
          <t>bài 20</t>
        </is>
      </c>
      <c r="B931" s="11" t="inlineStr">
        <is>
          <t>瘸</t>
        </is>
      </c>
      <c r="C931" s="8">
        <f>pinyin(B931)</f>
        <v/>
      </c>
      <c r="D931" s="8" t="inlineStr">
        <is>
          <t>偏偏不听话</t>
        </is>
      </c>
      <c r="E931" s="8">
        <f>IFERROR(__xludf.DUMMYFUNCTION("GOOGLETRANSLATE(B931, ""zh"", ""vi"")"),"què")</f>
        <v/>
      </c>
      <c r="F931" s="8" t="inlineStr">
        <is>
          <t>大家都劝他别去，他偏偏要去。</t>
        </is>
      </c>
      <c r="H931" s="9">
        <f>G931=B931</f>
        <v/>
      </c>
    </row>
    <row r="932">
      <c r="A932" s="8" t="inlineStr">
        <is>
          <t>bài 20</t>
        </is>
      </c>
      <c r="B932" s="11" t="inlineStr">
        <is>
          <t>挖掘</t>
        </is>
      </c>
      <c r="C932" s="8">
        <f>pinyin(B932)</f>
        <v/>
      </c>
      <c r="D932" s="8" t="inlineStr">
        <is>
          <t>真实的情况</t>
        </is>
      </c>
      <c r="E932" s="8">
        <f>IFERROR(__xludf.DUMMYFUNCTION("GOOGLETRANSLATE(B932, ""zh"", ""vi"")"),"Moi lên")</f>
        <v/>
      </c>
      <c r="F932" s="8" t="inlineStr">
        <is>
          <t>我们要查清事情的真相。</t>
        </is>
      </c>
      <c r="H932" s="9">
        <f>G932=B932</f>
        <v/>
      </c>
    </row>
    <row r="933">
      <c r="A933" s="8" t="inlineStr">
        <is>
          <t>bài 20</t>
        </is>
      </c>
      <c r="B933" s="11" t="inlineStr">
        <is>
          <t>宁肯</t>
        </is>
      </c>
      <c r="C933" s="8">
        <f>pinyin(B933)</f>
        <v/>
      </c>
      <c r="D933" s="8" t="inlineStr">
        <is>
          <t>很漂亮</t>
        </is>
      </c>
      <c r="E933" s="8">
        <f>IFERROR(__xludf.DUMMYFUNCTION("GOOGLETRANSLATE(B933, ""zh"", ""vi"")"),"Hơn là")</f>
        <v/>
      </c>
      <c r="F933" s="8" t="inlineStr">
        <is>
          <t>这件衣服穿起来很华丽。</t>
        </is>
      </c>
      <c r="H933" s="9">
        <f>G933=B933</f>
        <v/>
      </c>
    </row>
    <row r="934">
      <c r="A934" s="8" t="inlineStr">
        <is>
          <t>bài 20</t>
        </is>
      </c>
      <c r="B934" s="11" t="inlineStr">
        <is>
          <t>告诫</t>
        </is>
      </c>
      <c r="C934" s="8">
        <f>pinyin(B934)</f>
        <v/>
      </c>
      <c r="D934" s="8" t="inlineStr">
        <is>
          <t>队伍的配置</t>
        </is>
      </c>
      <c r="E934" s="8">
        <f>IFERROR(__xludf.DUMMYFUNCTION("GOOGLETRANSLATE(B934, ""zh"", ""vi"")"),"lời khuyên răn")</f>
        <v/>
      </c>
      <c r="F934" s="8" t="inlineStr">
        <is>
          <t>我们队的阵容很强大。</t>
        </is>
      </c>
      <c r="H934" s="9">
        <f>G934=B934</f>
        <v/>
      </c>
    </row>
    <row r="935">
      <c r="A935" s="8" t="inlineStr">
        <is>
          <t>bài 20</t>
        </is>
      </c>
      <c r="B935" s="11" t="inlineStr">
        <is>
          <t>欲望</t>
        </is>
      </c>
      <c r="C935" s="8">
        <f>pinyin(B935)</f>
        <v/>
      </c>
      <c r="D935" s="8" t="inlineStr">
        <is>
          <t>做事很有条理</t>
        </is>
      </c>
      <c r="E935" s="8">
        <f>IFERROR(__xludf.DUMMYFUNCTION("GOOGLETRANSLATE(B935, ""zh"", ""vi"")"),"sự mong muốn")</f>
        <v/>
      </c>
      <c r="F935" s="8" t="inlineStr">
        <is>
          <t>他做事一直有条不紊。</t>
        </is>
      </c>
      <c r="H935" s="9">
        <f>G935=B935</f>
        <v/>
      </c>
    </row>
    <row r="936">
      <c r="A936" s="8" t="inlineStr">
        <is>
          <t>bài 20</t>
        </is>
      </c>
      <c r="B936" s="11" t="inlineStr">
        <is>
          <t>贪婪</t>
        </is>
      </c>
      <c r="C936" s="8">
        <f>pinyin(B936)</f>
        <v/>
      </c>
      <c r="D936" s="8" t="inlineStr">
        <is>
          <t>表现出来</t>
        </is>
      </c>
      <c r="E936" s="8">
        <f>IFERROR(__xludf.DUMMYFUNCTION("GOOGLETRANSLATE(B936, ""zh"", ""vi"")"),"tham")</f>
        <v/>
      </c>
      <c r="F936" s="8" t="inlineStr">
        <is>
          <t>他的才能终于展现出来了。</t>
        </is>
      </c>
      <c r="H936" s="9">
        <f>G936=B936</f>
        <v/>
      </c>
    </row>
    <row r="937">
      <c r="A937" s="8" t="inlineStr">
        <is>
          <t>bài 20</t>
        </is>
      </c>
      <c r="B937" s="11" t="inlineStr">
        <is>
          <t>争夺</t>
        </is>
      </c>
      <c r="C937" s="8">
        <f>pinyin(B937)</f>
        <v/>
      </c>
      <c r="D937" s="8" t="inlineStr">
        <is>
          <t>一堆长在一起</t>
        </is>
      </c>
      <c r="E937" s="8">
        <f>IFERROR(__xludf.DUMMYFUNCTION("GOOGLETRANSLATE(B937, ""zh"", ""vi"")"),"đấu tranh ")</f>
        <v/>
      </c>
      <c r="F937" s="8" t="inlineStr">
        <is>
          <t>山上有一丛野花。</t>
        </is>
      </c>
      <c r="H937" s="9">
        <f>G937=B937</f>
        <v/>
      </c>
    </row>
    <row r="938">
      <c r="A938" s="8" t="inlineStr">
        <is>
          <t>bài 20</t>
        </is>
      </c>
      <c r="B938" s="11" t="inlineStr">
        <is>
          <t>贪污</t>
        </is>
      </c>
      <c r="C938" s="8">
        <f>pinyin(B938)</f>
        <v/>
      </c>
      <c r="D938" s="8" t="inlineStr">
        <is>
          <t>东西的大小</t>
        </is>
      </c>
      <c r="E938" s="8">
        <f>IFERROR(__xludf.DUMMYFUNCTION("GOOGLETRANSLATE(B938, ""zh"", ""vi"")"),"tham nhũng")</f>
        <v/>
      </c>
      <c r="F938" s="8" t="inlineStr">
        <is>
          <t>这个箱子的体积很大。</t>
        </is>
      </c>
      <c r="H938" s="9">
        <f>G938=B938</f>
        <v/>
      </c>
    </row>
    <row r="939">
      <c r="A939" s="8" t="inlineStr">
        <is>
          <t>bài 20</t>
        </is>
      </c>
      <c r="B939" s="11" t="inlineStr">
        <is>
          <t>贿赂</t>
        </is>
      </c>
      <c r="C939" s="8">
        <f>pinyin(B939)</f>
        <v/>
      </c>
      <c r="D939" s="8" t="inlineStr">
        <is>
          <t>东西的样子</t>
        </is>
      </c>
      <c r="E939" s="8">
        <f>IFERROR(__xludf.DUMMYFUNCTION("GOOGLETRANSLATE(B939, ""zh"", ""vi"")"),"hối lộ")</f>
        <v/>
      </c>
      <c r="F939" s="8" t="inlineStr">
        <is>
          <t>这个雕塑的造型很特别。</t>
        </is>
      </c>
      <c r="H939" s="9">
        <f>G939=B939</f>
        <v/>
      </c>
    </row>
    <row r="940">
      <c r="A940" s="8" t="inlineStr">
        <is>
          <t>bài 20</t>
        </is>
      </c>
      <c r="B940" s="11" t="inlineStr">
        <is>
          <t>不择手段</t>
        </is>
      </c>
      <c r="C940" s="8">
        <f>pinyin(B940)</f>
        <v/>
      </c>
      <c r="D940" s="8" t="inlineStr">
        <is>
          <t>搞不清楚</t>
        </is>
      </c>
      <c r="E940" s="8">
        <f>IFERROR(__xludf.DUMMYFUNCTION("GOOGLETRANSLATE(B940, ""zh"", ""vi"")"),"chơi hết mình")</f>
        <v/>
      </c>
      <c r="F940" s="8" t="inlineStr">
        <is>
          <t>我对这个问题感到迷惑。</t>
        </is>
      </c>
      <c r="H940" s="9">
        <f>G940=B940</f>
        <v/>
      </c>
    </row>
    <row r="941">
      <c r="A941" s="8" t="inlineStr">
        <is>
          <t>bài 20</t>
        </is>
      </c>
      <c r="B941" s="11" t="inlineStr">
        <is>
          <t>颇</t>
        </is>
      </c>
      <c r="C941" s="8">
        <f>pinyin(B941)</f>
        <v/>
      </c>
      <c r="D941" s="8" t="inlineStr">
        <is>
          <t>很奇妙</t>
        </is>
      </c>
      <c r="E941" s="8">
        <f>IFERROR(__xludf.DUMMYFUNCTION("GOOGLETRANSLATE(B941, ""zh"", ""vi"")"),"khá")</f>
        <v/>
      </c>
      <c r="F941" s="8" t="inlineStr">
        <is>
          <t>海底世界非常奇妙。</t>
        </is>
      </c>
      <c r="H941" s="9">
        <f>G941=B941</f>
        <v/>
      </c>
    </row>
    <row r="942">
      <c r="A942" s="8" t="inlineStr">
        <is>
          <t>bài 20</t>
        </is>
      </c>
      <c r="B942" s="11" t="inlineStr">
        <is>
          <t>分明</t>
        </is>
      </c>
      <c r="C942" s="8">
        <f>pinyin(B942)</f>
        <v/>
      </c>
      <c r="D942" s="8" t="inlineStr">
        <is>
          <t>很大很宽</t>
        </is>
      </c>
      <c r="E942" s="8">
        <f>IFERROR(__xludf.DUMMYFUNCTION("GOOGLETRANSLATE(B942, ""zh"", ""vi"")"),"riêng biệt")</f>
        <v/>
      </c>
      <c r="F942" s="8" t="inlineStr">
        <is>
          <t>这片草原非常广阔。</t>
        </is>
      </c>
      <c r="H942" s="9">
        <f>G942=B942</f>
        <v/>
      </c>
    </row>
    <row r="943">
      <c r="A943" s="8" t="inlineStr">
        <is>
          <t>bài 20</t>
        </is>
      </c>
      <c r="B943" s="11" t="inlineStr">
        <is>
          <t>隐蔽</t>
        </is>
      </c>
      <c r="C943" s="8">
        <f>pinyin(B943)</f>
        <v/>
      </c>
      <c r="D943" s="8" t="inlineStr">
        <is>
          <t>做事情的基地</t>
        </is>
      </c>
      <c r="E943" s="8">
        <f>IFERROR(__xludf.DUMMYFUNCTION("GOOGLETRANSLATE(B943, ""zh"", ""vi"")"),"ẩn giấu")</f>
        <v/>
      </c>
      <c r="F943" s="8" t="inlineStr">
        <is>
          <t>这里是科学研究基地。</t>
        </is>
      </c>
      <c r="H943" s="9">
        <f>G943=B943</f>
        <v/>
      </c>
    </row>
    <row r="944">
      <c r="A944" s="8" t="inlineStr">
        <is>
          <t>bài 20</t>
        </is>
      </c>
      <c r="B944" s="11" t="inlineStr">
        <is>
          <t>扎</t>
        </is>
      </c>
      <c r="C944" s="8">
        <f>pinyin(B944)</f>
        <v/>
      </c>
      <c r="E944" s="8">
        <f>IFERROR(__xludf.DUMMYFUNCTION("GOOGLETRANSLATE(B944, ""zh"", ""vi"")"),"cà vạt")</f>
        <v/>
      </c>
      <c r="H944" s="9">
        <f>G944=B944</f>
        <v/>
      </c>
    </row>
    <row r="945">
      <c r="A945" s="8" t="inlineStr">
        <is>
          <t>bài 20</t>
        </is>
      </c>
      <c r="B945" s="11" t="inlineStr">
        <is>
          <t>砖</t>
        </is>
      </c>
      <c r="C945" s="8">
        <f>pinyin(B945)</f>
        <v/>
      </c>
      <c r="E945" s="8">
        <f>IFERROR(__xludf.DUMMYFUNCTION("GOOGLETRANSLATE(B945, ""zh"", ""vi"")"),"gạch")</f>
        <v/>
      </c>
      <c r="H945" s="9">
        <f>G945=B945</f>
        <v/>
      </c>
    </row>
    <row r="946">
      <c r="A946" s="8" t="inlineStr">
        <is>
          <t>bài 20</t>
        </is>
      </c>
      <c r="B946" s="11" t="inlineStr">
        <is>
          <t>拣</t>
        </is>
      </c>
      <c r="C946" s="8">
        <f>pinyin(B946)</f>
        <v/>
      </c>
      <c r="E946" s="8">
        <f>IFERROR(__xludf.DUMMYFUNCTION("GOOGLETRANSLATE(B946, ""zh"", ""vi"")"),"Nhặt")</f>
        <v/>
      </c>
      <c r="H946" s="9">
        <f>G946=B946</f>
        <v/>
      </c>
    </row>
    <row r="947">
      <c r="A947" s="8" t="inlineStr">
        <is>
          <t>bài 20</t>
        </is>
      </c>
      <c r="B947" s="11" t="inlineStr">
        <is>
          <t>撇</t>
        </is>
      </c>
      <c r="C947" s="8">
        <f>pinyin(B947)</f>
        <v/>
      </c>
      <c r="E947" s="8">
        <f>IFERROR(__xludf.DUMMYFUNCTION("GOOGLETRANSLATE(B947, ""zh"", ""vi"")"),"cú đánh ngã sang trái")</f>
        <v/>
      </c>
      <c r="H947" s="9">
        <f>G947=B947</f>
        <v/>
      </c>
    </row>
    <row r="948">
      <c r="A948" s="8" t="inlineStr">
        <is>
          <t>bài 20</t>
        </is>
      </c>
      <c r="B948" s="11" t="inlineStr">
        <is>
          <t>发炎</t>
        </is>
      </c>
      <c r="C948" s="8">
        <f>pinyin(B948)</f>
        <v/>
      </c>
      <c r="E948" s="8">
        <f>IFERROR(__xludf.DUMMYFUNCTION("GOOGLETRANSLATE(B948, ""zh"", ""vi"")"),"bị viêm")</f>
        <v/>
      </c>
      <c r="H948" s="9">
        <f>G948=B948</f>
        <v/>
      </c>
    </row>
    <row r="949">
      <c r="A949" s="8" t="inlineStr">
        <is>
          <t>bài 20</t>
        </is>
      </c>
      <c r="B949" s="11" t="inlineStr">
        <is>
          <t>侥幸</t>
        </is>
      </c>
      <c r="C949" s="8">
        <f>pinyin(B949)</f>
        <v/>
      </c>
      <c r="E949" s="8">
        <f>IFERROR(__xludf.DUMMYFUNCTION("GOOGLETRANSLATE(B949, ""zh"", ""vi"")"),"may mắn")</f>
        <v/>
      </c>
      <c r="H949" s="9">
        <f>G949=B949</f>
        <v/>
      </c>
    </row>
    <row r="950">
      <c r="A950" s="8" t="inlineStr">
        <is>
          <t>bài 20</t>
        </is>
      </c>
      <c r="B950" s="11" t="inlineStr">
        <is>
          <t>滋味</t>
        </is>
      </c>
      <c r="C950" s="8">
        <f>pinyin(B950)</f>
        <v/>
      </c>
      <c r="E950" s="8">
        <f>IFERROR(__xludf.DUMMYFUNCTION("GOOGLETRANSLATE(B950, ""zh"", ""vi"")"),"nếm")</f>
        <v/>
      </c>
      <c r="H950" s="9">
        <f>G950=B950</f>
        <v/>
      </c>
    </row>
    <row r="951">
      <c r="A951" s="8" t="inlineStr">
        <is>
          <t>bài 20</t>
        </is>
      </c>
      <c r="B951" s="11" t="inlineStr">
        <is>
          <t>逢</t>
        </is>
      </c>
      <c r="C951" s="8">
        <f>pinyin(B951)</f>
        <v/>
      </c>
      <c r="E951" s="8">
        <f>IFERROR(__xludf.DUMMYFUNCTION("GOOGLETRANSLATE(B951, ""zh"", ""vi"")"),"Cuộc họp")</f>
        <v/>
      </c>
      <c r="H951" s="9">
        <f>G951=B951</f>
        <v/>
      </c>
    </row>
    <row r="952">
      <c r="A952" s="8" t="inlineStr">
        <is>
          <t>bài 20</t>
        </is>
      </c>
      <c r="B952" s="11" t="inlineStr">
        <is>
          <t>得不偿失</t>
        </is>
      </c>
      <c r="C952" s="8">
        <f>pinyin(B952)</f>
        <v/>
      </c>
      <c r="E952" s="8">
        <f>IFERROR(__xludf.DUMMYFUNCTION("GOOGLETRANSLATE(B952, ""zh"", ""vi"")"),"Việc đó không đáng.")</f>
        <v/>
      </c>
      <c r="H952" s="9">
        <f>G952=B952</f>
        <v/>
      </c>
    </row>
    <row r="953">
      <c r="A953" s="0" t="inlineStr">
        <is>
          <t>bài 22</t>
        </is>
      </c>
      <c r="B953" s="0" t="inlineStr">
        <is>
          <t>堵塞</t>
        </is>
      </c>
      <c r="D953" s="0" t="inlineStr">
        <is>
          <t>路堵住了</t>
        </is>
      </c>
      <c r="F953" s="0" t="inlineStr">
        <is>
          <t>路上堵塞得很厉害。</t>
        </is>
      </c>
    </row>
    <row r="954">
      <c r="A954" s="0" t="inlineStr">
        <is>
          <t>bài 22</t>
        </is>
      </c>
      <c r="B954" s="0" t="inlineStr">
        <is>
          <t>滞留</t>
        </is>
      </c>
      <c r="D954" s="0" t="inlineStr">
        <is>
          <t>被困在那里</t>
        </is>
      </c>
      <c r="F954" s="0" t="inlineStr">
        <is>
          <t>航班取消后，很多旅客滞留在机场。</t>
        </is>
      </c>
    </row>
    <row r="955">
      <c r="A955" s="0" t="inlineStr">
        <is>
          <t>bài 22</t>
        </is>
      </c>
      <c r="B955" s="0" t="inlineStr">
        <is>
          <t>皆</t>
        </is>
      </c>
      <c r="D955" s="0" t="inlineStr">
        <is>
          <t>全部都是</t>
        </is>
      </c>
      <c r="F955" s="0" t="inlineStr">
        <is>
          <t>大家皆大欢喜。</t>
        </is>
      </c>
    </row>
    <row r="956">
      <c r="A956" s="0" t="inlineStr">
        <is>
          <t>bài 22</t>
        </is>
      </c>
      <c r="B956" s="0" t="inlineStr">
        <is>
          <t>明智</t>
        </is>
      </c>
      <c r="D956" s="0" t="inlineStr">
        <is>
          <t>聪明做法</t>
        </is>
      </c>
      <c r="F956" s="0" t="inlineStr">
        <is>
          <t>这个决定很明智。</t>
        </is>
      </c>
    </row>
    <row r="957">
      <c r="A957" s="0" t="inlineStr">
        <is>
          <t>bài 22</t>
        </is>
      </c>
      <c r="B957" s="0" t="inlineStr">
        <is>
          <t>出路</t>
        </is>
      </c>
      <c r="D957" s="0" t="inlineStr">
        <is>
          <t>解决的办法</t>
        </is>
      </c>
      <c r="F957" s="0" t="inlineStr">
        <is>
          <t>他终于找到了出路。</t>
        </is>
      </c>
    </row>
    <row r="958">
      <c r="A958" s="0" t="inlineStr">
        <is>
          <t>bài 22</t>
        </is>
      </c>
      <c r="B958" s="0" t="inlineStr">
        <is>
          <t>规范</t>
        </is>
      </c>
      <c r="D958" s="0" t="inlineStr">
        <is>
          <t>做得正确</t>
        </is>
      </c>
      <c r="F958" s="0" t="inlineStr">
        <is>
          <t>他的行为不规范。</t>
        </is>
      </c>
    </row>
    <row r="959">
      <c r="A959" s="0" t="inlineStr">
        <is>
          <t>bài 22</t>
        </is>
      </c>
      <c r="B959" s="0" t="inlineStr">
        <is>
          <t>谋求</t>
        </is>
      </c>
      <c r="D959" s="0" t="inlineStr">
        <is>
          <t>努力去找</t>
        </is>
      </c>
      <c r="F959" s="0" t="inlineStr">
        <is>
          <t>我们要谋求更好的发展。</t>
        </is>
      </c>
    </row>
    <row r="960">
      <c r="A960" s="0" t="inlineStr">
        <is>
          <t>bài 22</t>
        </is>
      </c>
      <c r="B960" s="0" t="inlineStr">
        <is>
          <t>折磨</t>
        </is>
      </c>
      <c r="D960" s="0" t="inlineStr">
        <is>
          <t>让人很难受</t>
        </is>
      </c>
      <c r="F960" s="0" t="inlineStr">
        <is>
          <t>病痛折磨着他。</t>
        </is>
      </c>
    </row>
    <row r="961">
      <c r="A961" s="0" t="inlineStr">
        <is>
          <t>bài 22</t>
        </is>
      </c>
      <c r="B961" s="0" t="inlineStr">
        <is>
          <t>翼</t>
        </is>
      </c>
      <c r="D961" s="0" t="inlineStr">
        <is>
          <t>翅膀</t>
        </is>
      </c>
      <c r="F961" s="0" t="inlineStr">
        <is>
          <t>鸟儿张开翅膀飞走了。</t>
        </is>
      </c>
    </row>
    <row r="962">
      <c r="A962" s="0" t="inlineStr">
        <is>
          <t>bài 22</t>
        </is>
      </c>
      <c r="B962" s="0" t="inlineStr">
        <is>
          <t>担保</t>
        </is>
      </c>
      <c r="D962" s="0" t="inlineStr">
        <is>
          <t>保证没问题</t>
        </is>
      </c>
      <c r="F962" s="0" t="inlineStr">
        <is>
          <t>我敢担保他不会迟到。</t>
        </is>
      </c>
    </row>
    <row r="963">
      <c r="A963" s="0" t="inlineStr">
        <is>
          <t>bài 22</t>
        </is>
      </c>
      <c r="B963" s="0" t="inlineStr">
        <is>
          <t>大体</t>
        </is>
      </c>
      <c r="D963" s="0" t="inlineStr">
        <is>
          <t>大概情况</t>
        </is>
      </c>
      <c r="F963" s="0" t="inlineStr">
        <is>
          <t>大体上我同意你的看法。</t>
        </is>
      </c>
    </row>
    <row r="964">
      <c r="A964" s="0" t="inlineStr">
        <is>
          <t>bài 22</t>
        </is>
      </c>
      <c r="B964" s="0" t="inlineStr">
        <is>
          <t>勾画</t>
        </is>
      </c>
      <c r="D964" s="0" t="inlineStr">
        <is>
          <t>画出样子</t>
        </is>
      </c>
      <c r="F964" s="0" t="inlineStr">
        <is>
          <t>他几笔就勾画出人物。</t>
        </is>
      </c>
    </row>
    <row r="965">
      <c r="A965" s="0" t="inlineStr">
        <is>
          <t>bài 22</t>
        </is>
      </c>
      <c r="B965" s="0" t="inlineStr">
        <is>
          <t>轮廓</t>
        </is>
      </c>
      <c r="D965" s="0" t="inlineStr">
        <is>
          <t>大概形状</t>
        </is>
      </c>
      <c r="F965" s="0" t="inlineStr">
        <is>
          <t>这座山的轮廓很清楚。</t>
        </is>
      </c>
    </row>
    <row r="966">
      <c r="A966" s="0" t="inlineStr">
        <is>
          <t>bài 22</t>
        </is>
      </c>
      <c r="B966" s="0" t="inlineStr">
        <is>
          <t>指责</t>
        </is>
      </c>
      <c r="D966" s="0" t="inlineStr">
        <is>
          <t>批评别人</t>
        </is>
      </c>
      <c r="F966" s="0" t="inlineStr">
        <is>
          <t>不要随便指责别人。</t>
        </is>
      </c>
    </row>
    <row r="967">
      <c r="A967" s="0" t="inlineStr">
        <is>
          <t>bài 22</t>
        </is>
      </c>
      <c r="B967" s="0" t="inlineStr">
        <is>
          <t>融化</t>
        </is>
      </c>
      <c r="C967" s="0" t="inlineStr">
        <is>
          <t>rónghuà</t>
        </is>
      </c>
      <c r="D967" s="0" t="inlineStr">
        <is>
          <t>冰或雪变成水</t>
        </is>
      </c>
      <c r="F967" s="0" t="inlineStr">
        <is>
          <t>春天来了，河里的冰都融化了。</t>
        </is>
      </c>
    </row>
    <row r="968">
      <c r="A968" s="0" t="inlineStr">
        <is>
          <t>bài 22</t>
        </is>
      </c>
      <c r="B968" s="0" t="inlineStr">
        <is>
          <t>石油</t>
        </is>
      </c>
      <c r="C968" s="0" t="inlineStr">
        <is>
          <t>shíyóu</t>
        </is>
      </c>
      <c r="D968" s="0" t="inlineStr">
        <is>
          <t>从地下开采的一种能源</t>
        </is>
      </c>
      <c r="F968" s="0" t="inlineStr">
        <is>
          <t>汽车用的汽油是从石油提炼出来的。</t>
        </is>
      </c>
    </row>
    <row r="969">
      <c r="A969" s="0" t="inlineStr">
        <is>
          <t>bài 22</t>
        </is>
      </c>
      <c r="B969" s="0" t="inlineStr">
        <is>
          <t>事故</t>
        </is>
      </c>
      <c r="C969" s="0" t="inlineStr">
        <is>
          <t>shìgù</t>
        </is>
      </c>
      <c r="D969" s="0" t="inlineStr">
        <is>
          <t>意外发生的不好的事情</t>
        </is>
      </c>
      <c r="F969" s="0" t="inlineStr">
        <is>
          <t>那条路常常发生交通事故。</t>
        </is>
      </c>
    </row>
    <row r="970">
      <c r="A970" s="0" t="inlineStr">
        <is>
          <t>bài 22</t>
        </is>
      </c>
      <c r="B970" s="0" t="inlineStr">
        <is>
          <t>割</t>
        </is>
      </c>
      <c r="C970" s="0" t="inlineStr">
        <is>
          <t>gē</t>
        </is>
      </c>
      <c r="D970" s="0" t="inlineStr">
        <is>
          <t>用刀把东西切开</t>
        </is>
      </c>
      <c r="F970" s="0" t="inlineStr">
        <is>
          <t>农民在地里割麦子。</t>
        </is>
      </c>
    </row>
    <row r="971">
      <c r="A971" s="0" t="inlineStr">
        <is>
          <t>bài 22</t>
        </is>
      </c>
      <c r="B971" s="0" t="inlineStr">
        <is>
          <t>干预</t>
        </is>
      </c>
      <c r="D971" s="0" t="inlineStr">
        <is>
          <t>管别人事</t>
        </is>
      </c>
      <c r="F971" s="0" t="inlineStr">
        <is>
          <t>请不要干预我的事。</t>
        </is>
      </c>
    </row>
    <row r="972">
      <c r="A972" s="0" t="inlineStr">
        <is>
          <t>bài 22</t>
        </is>
      </c>
      <c r="B972" s="0" t="inlineStr">
        <is>
          <t>平坦</t>
        </is>
      </c>
      <c r="D972" s="0" t="inlineStr">
        <is>
          <t>很平</t>
        </is>
      </c>
      <c r="F972" s="0" t="inlineStr">
        <is>
          <t>道路很平坦。</t>
        </is>
      </c>
    </row>
    <row r="973">
      <c r="A973" s="0" t="inlineStr">
        <is>
          <t>bài 22</t>
        </is>
      </c>
      <c r="B973" s="0" t="inlineStr">
        <is>
          <t>奔驰</t>
        </is>
      </c>
      <c r="D973" s="0" t="inlineStr">
        <is>
          <t>跑得很快</t>
        </is>
      </c>
      <c r="F973" s="0" t="inlineStr">
        <is>
          <t>汽车在高速路上奔驰。</t>
        </is>
      </c>
    </row>
    <row r="974">
      <c r="A974" s="0" t="inlineStr">
        <is>
          <t>bài 22</t>
        </is>
      </c>
      <c r="B974" s="0" t="inlineStr">
        <is>
          <t>试图</t>
        </is>
      </c>
      <c r="D974" s="0" t="inlineStr">
        <is>
          <t>尝试去做</t>
        </is>
      </c>
      <c r="F974" s="0" t="inlineStr">
        <is>
          <t>他试图说服我。</t>
        </is>
      </c>
    </row>
    <row r="975">
      <c r="A975" s="0" t="inlineStr">
        <is>
          <t>bài 22</t>
        </is>
      </c>
      <c r="B975" s="0" t="inlineStr">
        <is>
          <t>引导</t>
        </is>
      </c>
      <c r="D975" s="0" t="inlineStr">
        <is>
          <t>带路</t>
        </is>
      </c>
      <c r="F975" s="0" t="inlineStr">
        <is>
          <t>老师引导我们学习。</t>
        </is>
      </c>
    </row>
    <row r="976">
      <c r="A976" s="0" t="inlineStr">
        <is>
          <t>bài 22</t>
        </is>
      </c>
      <c r="B976" s="0" t="inlineStr">
        <is>
          <t>串</t>
        </is>
      </c>
      <c r="D976" s="0" t="inlineStr">
        <is>
          <t>一串东西</t>
        </is>
      </c>
      <c r="F976" s="0" t="inlineStr">
        <is>
          <t>我买了一串葡萄。</t>
        </is>
      </c>
    </row>
    <row r="977">
      <c r="A977" s="0" t="inlineStr">
        <is>
          <t>bài 22</t>
        </is>
      </c>
      <c r="B977" s="0" t="inlineStr">
        <is>
          <t>珍珠</t>
        </is>
      </c>
      <c r="D977" s="0" t="inlineStr">
        <is>
          <t>珍珠</t>
        </is>
      </c>
      <c r="F977" s="0" t="inlineStr">
        <is>
          <t>她戴着珍珠项链。</t>
        </is>
      </c>
    </row>
    <row r="978">
      <c r="A978" s="0" t="inlineStr">
        <is>
          <t>bài 22</t>
        </is>
      </c>
      <c r="B978" s="0" t="inlineStr">
        <is>
          <t>效益</t>
        </is>
      </c>
      <c r="C978" s="0" t="inlineStr">
        <is>
          <t>xiàoyì</t>
        </is>
      </c>
      <c r="D978" s="0" t="inlineStr">
        <is>
          <t>做事得到的好处</t>
        </is>
      </c>
      <c r="F978" s="0" t="inlineStr">
        <is>
          <t>这个方法能提高工作效益。</t>
        </is>
      </c>
    </row>
    <row r="979">
      <c r="A979" s="0" t="inlineStr">
        <is>
          <t>bài 22</t>
        </is>
      </c>
      <c r="B979" s="0" t="inlineStr">
        <is>
          <t>配备</t>
        </is>
      </c>
      <c r="D979" s="0" t="inlineStr">
        <is>
          <t>准备好东西</t>
        </is>
      </c>
      <c r="F979" s="0" t="inlineStr">
        <is>
          <t>公司配备了新电脑。</t>
        </is>
      </c>
    </row>
    <row r="980">
      <c r="A980" s="0" t="inlineStr">
        <is>
          <t>bài 22</t>
        </is>
      </c>
      <c r="B980" s="0" t="inlineStr">
        <is>
          <t>保障</t>
        </is>
      </c>
      <c r="D980" s="0" t="inlineStr">
        <is>
          <t>保证做到</t>
        </is>
      </c>
      <c r="F980" s="0" t="inlineStr">
        <is>
          <t>法律保障我们的权利。</t>
        </is>
      </c>
    </row>
    <row r="981">
      <c r="A981" s="0" t="inlineStr">
        <is>
          <t>bài 22</t>
        </is>
      </c>
      <c r="B981" s="0" t="inlineStr">
        <is>
          <t>抵达</t>
        </is>
      </c>
      <c r="D981" s="0" t="inlineStr">
        <is>
          <t>到达地方</t>
        </is>
      </c>
      <c r="F981" s="0" t="inlineStr">
        <is>
          <t>我们终于抵达目的地。</t>
        </is>
      </c>
    </row>
    <row r="982">
      <c r="A982" s="0" t="inlineStr">
        <is>
          <t>bài 22</t>
        </is>
      </c>
      <c r="B982" s="0" t="inlineStr">
        <is>
          <t>终点</t>
        </is>
      </c>
      <c r="D982" s="0" t="inlineStr">
        <is>
          <t>结束的地方</t>
        </is>
      </c>
      <c r="F982" s="0" t="inlineStr">
        <is>
          <t>比赛到达了终点。</t>
        </is>
      </c>
    </row>
    <row r="983">
      <c r="A983" s="0" t="inlineStr">
        <is>
          <t>bài 22</t>
        </is>
      </c>
      <c r="B983" s="0" t="inlineStr">
        <is>
          <t>停泊</t>
        </is>
      </c>
      <c r="D983" s="0" t="inlineStr">
        <is>
          <t>停船或车</t>
        </is>
      </c>
      <c r="F983" s="0" t="inlineStr">
        <is>
          <t>船停泊在港口。</t>
        </is>
      </c>
    </row>
    <row r="984">
      <c r="A984" s="0" t="inlineStr">
        <is>
          <t>bài 22</t>
        </is>
      </c>
      <c r="B984" s="0" t="inlineStr">
        <is>
          <t>力求</t>
        </is>
      </c>
      <c r="D984" s="0" t="inlineStr">
        <is>
          <t>努力去做</t>
        </is>
      </c>
      <c r="F984" s="0" t="inlineStr">
        <is>
          <t>我们力求做到最好。</t>
        </is>
      </c>
    </row>
    <row r="985">
      <c r="A985" s="0" t="inlineStr">
        <is>
          <t>bài 22</t>
        </is>
      </c>
      <c r="B985" s="0" t="inlineStr">
        <is>
          <t>融合</t>
        </is>
      </c>
      <c r="C985" s="0" t="inlineStr">
        <is>
          <t>rónghé</t>
        </is>
      </c>
      <c r="D985" s="0" t="inlineStr">
        <is>
          <t>不同的东西合在一起</t>
        </is>
      </c>
      <c r="F985" s="0" t="inlineStr">
        <is>
          <t>这座城市把传统和现代融合在一起。</t>
        </is>
      </c>
    </row>
    <row r="986">
      <c r="A986" s="0" t="inlineStr">
        <is>
          <t>bài 22</t>
        </is>
      </c>
      <c r="B986" s="0" t="inlineStr">
        <is>
          <t>引擎</t>
        </is>
      </c>
      <c r="D986" s="0" t="inlineStr">
        <is>
          <t>汽车发动机</t>
        </is>
      </c>
      <c r="F986" s="0" t="inlineStr">
        <is>
          <t>汽车引擎声音很大。</t>
        </is>
      </c>
    </row>
    <row r="987">
      <c r="A987" s="0" t="inlineStr">
        <is>
          <t>bài 22</t>
        </is>
      </c>
      <c r="B987" s="0" t="inlineStr">
        <is>
          <t>代价</t>
        </is>
      </c>
      <c r="C987" s="0" t="inlineStr">
        <is>
          <t>dàijià</t>
        </is>
      </c>
      <c r="D987" s="0" t="inlineStr">
        <is>
          <t>为得到东西所付出的东西</t>
        </is>
      </c>
      <c r="F987" s="0" t="inlineStr">
        <is>
          <t>他为了成功付出了很大代价。</t>
        </is>
      </c>
    </row>
    <row r="988">
      <c r="A988" s="0" t="inlineStr">
        <is>
          <t>bài 22</t>
        </is>
      </c>
      <c r="B988" s="0" t="inlineStr">
        <is>
          <t>行列</t>
        </is>
      </c>
      <c r="D988" s="0" t="inlineStr">
        <is>
          <t>排队的人</t>
        </is>
      </c>
      <c r="F988" s="0" t="inlineStr">
        <is>
          <t>他排在第一行列。</t>
        </is>
      </c>
    </row>
    <row r="989">
      <c r="A989" s="0" t="inlineStr">
        <is>
          <t>bài 22</t>
        </is>
      </c>
      <c r="B989" s="0" t="inlineStr">
        <is>
          <t>潮流</t>
        </is>
      </c>
      <c r="D989" s="0" t="inlineStr">
        <is>
          <t>流行方向</t>
        </is>
      </c>
      <c r="F989" s="0" t="inlineStr">
        <is>
          <t>潮流在不断变化。</t>
        </is>
      </c>
    </row>
    <row r="990">
      <c r="A990" s="0" t="inlineStr">
        <is>
          <t>bài 22</t>
        </is>
      </c>
      <c r="B990" s="0" t="inlineStr">
        <is>
          <t>助理</t>
        </is>
      </c>
      <c r="D990" s="0" t="inlineStr">
        <is>
          <t>帮忙的人</t>
        </is>
      </c>
      <c r="F990" s="0" t="inlineStr">
        <is>
          <t>她是我的好助理。</t>
        </is>
      </c>
    </row>
    <row r="991">
      <c r="A991" s="0" t="inlineStr">
        <is>
          <t>bài 22</t>
        </is>
      </c>
      <c r="B991" s="0" t="inlineStr">
        <is>
          <t>柴油</t>
        </is>
      </c>
      <c r="D991" s="0" t="inlineStr">
        <is>
          <t>一种燃料</t>
        </is>
      </c>
      <c r="F991" s="0" t="inlineStr">
        <is>
          <t>卡车用柴油。</t>
        </is>
      </c>
    </row>
    <row r="992">
      <c r="A992" s="0" t="inlineStr">
        <is>
          <t>bài 22</t>
        </is>
      </c>
      <c r="B992" s="0" t="inlineStr">
        <is>
          <t>遏制</t>
        </is>
      </c>
      <c r="D992" s="0" t="inlineStr">
        <is>
          <t>控制住</t>
        </is>
      </c>
      <c r="F992" s="0" t="inlineStr">
        <is>
          <t>我们要遏制不良行为。</t>
        </is>
      </c>
    </row>
    <row r="993">
      <c r="A993" s="0" t="inlineStr">
        <is>
          <t>bài 22</t>
        </is>
      </c>
      <c r="B993" s="0" t="inlineStr">
        <is>
          <t>比重</t>
        </is>
      </c>
      <c r="D993" s="0" t="inlineStr">
        <is>
          <t>比例大小</t>
        </is>
      </c>
      <c r="F993" s="0" t="inlineStr">
        <is>
          <t>男生比重较大。</t>
        </is>
      </c>
    </row>
    <row r="994">
      <c r="A994" s="0" t="inlineStr">
        <is>
          <t>bài 22</t>
        </is>
      </c>
      <c r="B994" s="0" t="inlineStr">
        <is>
          <t>昂贵</t>
        </is>
      </c>
      <c r="D994" s="0" t="inlineStr">
        <is>
          <t>价钱很高</t>
        </is>
      </c>
      <c r="F994" s="0" t="inlineStr">
        <is>
          <t>这件衣服很昂贵。</t>
        </is>
      </c>
    </row>
    <row r="995">
      <c r="A995" s="0" t="inlineStr">
        <is>
          <t>bài 22</t>
        </is>
      </c>
      <c r="B995" s="0" t="inlineStr">
        <is>
          <t>优胜劣汰</t>
        </is>
      </c>
      <c r="D995" s="0" t="inlineStr">
        <is>
          <t>好的留下来，坏的淘汰</t>
        </is>
      </c>
      <c r="F995" s="0" t="inlineStr">
        <is>
          <t>竞争中优胜劣汰。</t>
        </is>
      </c>
    </row>
    <row r="996">
      <c r="A996" s="0" t="inlineStr">
        <is>
          <t>bài 22</t>
        </is>
      </c>
      <c r="B996" s="0" t="inlineStr">
        <is>
          <t>锦上添花</t>
        </is>
      </c>
      <c r="D996" s="0" t="inlineStr">
        <is>
          <t>好上加好</t>
        </is>
      </c>
      <c r="F996" s="0" t="inlineStr">
        <is>
          <t>锦上添花更好。</t>
        </is>
      </c>
    </row>
    <row r="997">
      <c r="A997" s="0" t="inlineStr">
        <is>
          <t>bài 22</t>
        </is>
      </c>
      <c r="B997" s="0" t="inlineStr">
        <is>
          <t>阻碍</t>
        </is>
      </c>
      <c r="C997" s="0" t="inlineStr">
        <is>
          <t>zǔ'ài</t>
        </is>
      </c>
      <c r="D997" s="0" t="inlineStr">
        <is>
          <t>挡住，使不能顺利进行</t>
        </is>
      </c>
      <c r="F997" s="0" t="inlineStr">
        <is>
          <t>大雾阻碍了飞机起飞。</t>
        </is>
      </c>
    </row>
    <row r="998">
      <c r="A998" s="0" t="inlineStr">
        <is>
          <t>bài 22</t>
        </is>
      </c>
      <c r="B998" s="0" t="inlineStr">
        <is>
          <t>排除</t>
        </is>
      </c>
      <c r="D998" s="0" t="inlineStr">
        <is>
          <t>去掉</t>
        </is>
      </c>
      <c r="F998" s="0" t="inlineStr">
        <is>
          <t>排除所有困难。</t>
        </is>
      </c>
    </row>
    <row r="999">
      <c r="A999" s="0" t="inlineStr">
        <is>
          <t>bài 22</t>
        </is>
      </c>
      <c r="B999" s="0" t="inlineStr">
        <is>
          <t>确保</t>
        </is>
      </c>
      <c r="C999" s="0" t="inlineStr">
        <is>
          <t>quèbǎo</t>
        </is>
      </c>
      <c r="D999" s="0" t="inlineStr">
        <is>
          <t>一定要做到，不能出错</t>
        </is>
      </c>
      <c r="F999" s="0" t="inlineStr">
        <is>
          <t>我们要确保产品的质量。</t>
        </is>
      </c>
    </row>
    <row r="1000">
      <c r="A1000" s="0" t="inlineStr">
        <is>
          <t>bài 22</t>
        </is>
      </c>
      <c r="B1000" s="0" t="inlineStr">
        <is>
          <t>排放</t>
        </is>
      </c>
      <c r="C1000" s="0" t="inlineStr">
        <is>
          <t>páifàng</t>
        </is>
      </c>
      <c r="D1000" s="0" t="inlineStr">
        <is>
          <t>把废气废水放出去</t>
        </is>
      </c>
      <c r="F1000" s="0" t="inlineStr">
        <is>
          <t>工厂排放的废气污染了空气。</t>
        </is>
      </c>
    </row>
    <row r="1001">
      <c r="A1001" s="0" t="inlineStr">
        <is>
          <t>bài 22</t>
        </is>
      </c>
      <c r="B1001" s="0" t="inlineStr">
        <is>
          <t>伴侣</t>
        </is>
      </c>
      <c r="D1001" s="0" t="inlineStr">
        <is>
          <t>一起生活的人</t>
        </is>
      </c>
      <c r="F1001" s="0" t="inlineStr">
        <is>
          <t>他们是生活伴侣。</t>
        </is>
      </c>
    </row>
    <row r="1002">
      <c r="A1002" s="0" t="inlineStr">
        <is>
          <t>bài 22</t>
        </is>
      </c>
      <c r="B1002" s="0" t="inlineStr">
        <is>
          <t>支柱</t>
        </is>
      </c>
      <c r="D1002" s="0" t="inlineStr">
        <is>
          <t>主要支持</t>
        </is>
      </c>
      <c r="F1002" s="0" t="inlineStr">
        <is>
          <t>教育是国家的支柱。</t>
        </is>
      </c>
    </row>
    <row r="1003">
      <c r="A1003" s="8" t="inlineStr">
        <is>
          <t>bài 23</t>
        </is>
      </c>
      <c r="B1003" s="11" t="inlineStr">
        <is>
          <t>通俗</t>
        </is>
      </c>
      <c r="C1003" s="8">
        <f>pinyin(B1033)</f>
        <v/>
      </c>
      <c r="D1003" s="8" t="inlineStr">
        <is>
          <t>容易懂的话</t>
        </is>
      </c>
      <c r="E1003" s="8">
        <f>IFERROR(__xludf.DUMMYFUNCTION("GOOGLETRANSLATE(B1033, ""zh"", ""vi"")"),"phổ biến")</f>
        <v/>
      </c>
      <c r="F1003" s="8" t="inlineStr">
        <is>
          <t>这个解释很通俗，大家都听得懂。</t>
        </is>
      </c>
      <c r="H1003" s="9">
        <f>G1033=B1033</f>
        <v/>
      </c>
    </row>
    <row r="1004">
      <c r="A1004" s="8" t="inlineStr">
        <is>
          <t>bài 23</t>
        </is>
      </c>
      <c r="B1004" s="11" t="inlineStr">
        <is>
          <t>堆积</t>
        </is>
      </c>
      <c r="C1004" s="8">
        <f>pinyin(B1034)</f>
        <v/>
      </c>
      <c r="D1004" s="8" t="inlineStr">
        <is>
          <t>东西堆很多</t>
        </is>
      </c>
      <c r="E1004" s="8">
        <f>IFERROR(__xludf.DUMMYFUNCTION("GOOGLETRANSLATE(B1034, ""zh"", ""vi"")"),"sự tích lũy")</f>
        <v/>
      </c>
      <c r="F1004" s="8" t="inlineStr">
        <is>
          <t>这些旧衣服已经堆积在柜子里好几个月了。</t>
        </is>
      </c>
      <c r="H1004" s="9">
        <f>G1034=B1034</f>
        <v/>
      </c>
    </row>
    <row r="1005">
      <c r="A1005" s="8" t="inlineStr">
        <is>
          <t>bài 23</t>
        </is>
      </c>
      <c r="B1005" s="11" t="inlineStr">
        <is>
          <t>卓越</t>
        </is>
      </c>
      <c r="C1005" s="8">
        <f>pinyin(B1035)</f>
        <v/>
      </c>
      <c r="D1005" s="8" t="inlineStr">
        <is>
          <t>很优秀</t>
        </is>
      </c>
      <c r="E1005" s="8">
        <f>IFERROR(__xludf.DUMMYFUNCTION("GOOGLETRANSLATE(B1035, ""zh"", ""vi"")"),"sự xuất sắc")</f>
        <v/>
      </c>
      <c r="F1005" s="8" t="inlineStr">
        <is>
          <t>他的学习成绩非常卓越，大家都羡慕。</t>
        </is>
      </c>
      <c r="H1005" s="9">
        <f>G1035=B1035</f>
        <v/>
      </c>
    </row>
    <row r="1006">
      <c r="A1006" s="8" t="inlineStr">
        <is>
          <t>bài 23</t>
        </is>
      </c>
      <c r="B1006" s="11" t="inlineStr">
        <is>
          <t>预测</t>
        </is>
      </c>
      <c r="C1006" s="8">
        <f>pinyin(B1036)</f>
        <v/>
      </c>
      <c r="D1006" s="8" t="inlineStr">
        <is>
          <t>提前知道</t>
        </is>
      </c>
      <c r="E1006" s="8">
        <f>IFERROR(__xludf.DUMMYFUNCTION("GOOGLETRANSLATE(B1036, ""zh"", ""vi"")"),"dự đoán")</f>
        <v/>
      </c>
      <c r="F1006" s="8" t="inlineStr">
        <is>
          <t>专家预测明天会下大雨。</t>
        </is>
      </c>
      <c r="H1006" s="9">
        <f>G1036=B1036</f>
        <v/>
      </c>
    </row>
    <row r="1007">
      <c r="A1007" s="8" t="inlineStr">
        <is>
          <t>bài 23</t>
        </is>
      </c>
      <c r="B1007" s="11" t="inlineStr">
        <is>
          <t>万分</t>
        </is>
      </c>
      <c r="C1007" s="8">
        <f>pinyin(B1037)</f>
        <v/>
      </c>
      <c r="D1007" s="8" t="inlineStr">
        <is>
          <t>非常</t>
        </is>
      </c>
      <c r="E1007" s="8">
        <f>IFERROR(__xludf.DUMMYFUNCTION("GOOGLETRANSLATE(B1037, ""zh"", ""vi"")"),"vô cùng")</f>
        <v/>
      </c>
      <c r="F1007" s="8" t="inlineStr">
        <is>
          <t>听到这个消息，我心里万分高兴。</t>
        </is>
      </c>
      <c r="H1007" s="9">
        <f>G1037=B1037</f>
        <v/>
      </c>
    </row>
    <row r="1008">
      <c r="A1008" s="8" t="inlineStr">
        <is>
          <t>bài 23</t>
        </is>
      </c>
      <c r="B1008" s="11" t="inlineStr">
        <is>
          <t>振奋</t>
        </is>
      </c>
      <c r="C1008" s="8">
        <f>pinyin(B1038)</f>
        <v/>
      </c>
      <c r="D1008" s="8" t="inlineStr">
        <is>
          <t>精神很好</t>
        </is>
      </c>
      <c r="E1008" s="8">
        <f>IFERROR(__xludf.DUMMYFUNCTION("GOOGLETRANSLATE(B1038, ""zh"", ""vi"")"),"Tiếp thêm sinh lực")</f>
        <v/>
      </c>
      <c r="F1008" s="8" t="inlineStr">
        <is>
          <t>这个胜利的消息让全国人民感到振奋。</t>
        </is>
      </c>
      <c r="H1008" s="9">
        <f>G1038=B1038</f>
        <v/>
      </c>
    </row>
    <row r="1009">
      <c r="A1009" s="8" t="inlineStr">
        <is>
          <t>bài 23</t>
        </is>
      </c>
      <c r="B1009" s="11" t="inlineStr">
        <is>
          <t>公认</t>
        </is>
      </c>
      <c r="C1009" s="8">
        <f>pinyin(B1039)</f>
        <v/>
      </c>
      <c r="D1009" s="8" t="inlineStr">
        <is>
          <t>大家都觉得</t>
        </is>
      </c>
      <c r="E1009" s="8">
        <f>IFERROR(__xludf.DUMMYFUNCTION("GOOGLETRANSLATE(B1039, ""zh"", ""vi"")"),"được chấp nhận")</f>
        <v/>
      </c>
      <c r="F1009" s="8" t="inlineStr">
        <is>
          <t>她是大家公认的最好老师。</t>
        </is>
      </c>
      <c r="H1009" s="9">
        <f>G1039=B1039</f>
        <v/>
      </c>
    </row>
    <row r="1010">
      <c r="A1010" s="8" t="inlineStr">
        <is>
          <t>bài 23</t>
        </is>
      </c>
      <c r="B1010" s="11" t="inlineStr">
        <is>
          <t>功劳</t>
        </is>
      </c>
      <c r="C1010" s="8">
        <f>pinyin(B1040)</f>
        <v/>
      </c>
      <c r="D1010" s="8" t="inlineStr">
        <is>
          <t>做的贡献</t>
        </is>
      </c>
      <c r="E1010" s="8">
        <f>IFERROR(__xludf.DUMMYFUNCTION("GOOGLETRANSLATE(B1040, ""zh"", ""vi"")"),"công lao")</f>
        <v/>
      </c>
      <c r="F1010" s="8" t="inlineStr">
        <is>
          <t>这次成功他的功劳最大。</t>
        </is>
      </c>
      <c r="H1010" s="9">
        <f>G1040=B1040</f>
        <v/>
      </c>
    </row>
    <row r="1011">
      <c r="A1011" s="8" t="inlineStr">
        <is>
          <t>bài 23</t>
        </is>
      </c>
      <c r="B1011" s="11" t="inlineStr">
        <is>
          <t>派遣</t>
        </is>
      </c>
      <c r="C1011" s="8">
        <f>pinyin(B1041)</f>
        <v/>
      </c>
      <c r="D1011" s="8" t="inlineStr">
        <is>
          <t>派人去</t>
        </is>
      </c>
      <c r="E1011" s="8">
        <f>IFERROR(__xludf.DUMMYFUNCTION("GOOGLETRANSLATE(B1041, ""zh"", ""vi"")"),"chiến lược")</f>
        <v/>
      </c>
      <c r="F1011" s="8" t="inlineStr">
        <is>
          <t>领导派遣我去北京参加会议。</t>
        </is>
      </c>
      <c r="H1011" s="9">
        <f>G1041=B1041</f>
        <v/>
      </c>
    </row>
    <row r="1012">
      <c r="A1012" s="8" t="inlineStr">
        <is>
          <t>bài 23</t>
        </is>
      </c>
      <c r="B1012" s="11" t="inlineStr">
        <is>
          <t>战略</t>
        </is>
      </c>
      <c r="C1012" s="8">
        <f>pinyin(B1042)</f>
        <v/>
      </c>
      <c r="D1012" s="8" t="inlineStr">
        <is>
          <t>重要计划</t>
        </is>
      </c>
      <c r="E1012" s="8">
        <f>IFERROR(__xludf.DUMMYFUNCTION("GOOGLETRANSLATE(B1042, ""zh"", ""vi"")"),"gửi")</f>
        <v/>
      </c>
      <c r="F1012" s="8" t="inlineStr">
        <is>
          <t>公司制定了新的战略计划。</t>
        </is>
      </c>
      <c r="H1012" s="9">
        <f>G1042=B1042</f>
        <v/>
      </c>
    </row>
    <row r="1013">
      <c r="A1013" s="8" t="inlineStr">
        <is>
          <t>bài 23</t>
        </is>
      </c>
      <c r="B1013" s="11" t="inlineStr">
        <is>
          <t>模型</t>
        </is>
      </c>
      <c r="C1013" s="8">
        <f>pinyin(B1043)</f>
        <v/>
      </c>
      <c r="D1013" s="8" t="inlineStr">
        <is>
          <t>做样子</t>
        </is>
      </c>
      <c r="E1013" s="8">
        <f>IFERROR(__xludf.DUMMYFUNCTION("GOOGLETRANSLATE(B1043, ""zh"", ""vi"")"),"Người mẫu")</f>
        <v/>
      </c>
      <c r="F1013" s="8" t="inlineStr">
        <is>
          <t>小孩子正在玩飞机模型。</t>
        </is>
      </c>
      <c r="H1013" s="9">
        <f>G1043=B1043</f>
        <v/>
      </c>
    </row>
    <row r="1014">
      <c r="A1014" s="8" t="inlineStr">
        <is>
          <t>bài 23</t>
        </is>
      </c>
      <c r="B1014" s="11" t="inlineStr">
        <is>
          <t>共计</t>
        </is>
      </c>
      <c r="C1014" s="8">
        <f>pinyin(B1044)</f>
        <v/>
      </c>
      <c r="D1014" s="8" t="inlineStr">
        <is>
          <t>总共</t>
        </is>
      </c>
      <c r="E1014" s="8">
        <f>IFERROR(__xludf.DUMMYFUNCTION("GOOGLETRANSLATE(B1044, ""zh"", ""vi"")"),"tổng cộng")</f>
        <v/>
      </c>
      <c r="F1014" s="8" t="inlineStr">
        <is>
          <t>这次考试共计有五十名学生参加。</t>
        </is>
      </c>
      <c r="H1014" s="9">
        <f>G1044=B1044</f>
        <v/>
      </c>
    </row>
    <row r="1015">
      <c r="A1015" s="8" t="inlineStr">
        <is>
          <t>bài 23</t>
        </is>
      </c>
      <c r="B1015" s="11" t="inlineStr">
        <is>
          <t>优越</t>
        </is>
      </c>
      <c r="C1015" s="8">
        <f>pinyin(B1045)</f>
        <v/>
      </c>
      <c r="D1015" s="8" t="inlineStr">
        <is>
          <t>很好</t>
        </is>
      </c>
      <c r="E1015" s="8">
        <f>IFERROR(__xludf.DUMMYFUNCTION("GOOGLETRANSLATE(B1045, ""zh"", ""vi"")"),"thượng đẳng")</f>
        <v/>
      </c>
      <c r="F1015" s="8" t="inlineStr">
        <is>
          <t>这里的自然环境比城市优越很多。</t>
        </is>
      </c>
      <c r="H1015" s="9">
        <f>G1045=B1045</f>
        <v/>
      </c>
    </row>
    <row r="1016">
      <c r="A1016" s="8" t="inlineStr">
        <is>
          <t>bài 23</t>
        </is>
      </c>
      <c r="B1016" s="11" t="inlineStr">
        <is>
          <t>实事求是</t>
        </is>
      </c>
      <c r="C1016" s="8">
        <f>pinyin(B1046)</f>
        <v/>
      </c>
      <c r="D1016" s="8" t="inlineStr">
        <is>
          <t>实事求是</t>
        </is>
      </c>
      <c r="E1016" s="8">
        <f>IFERROR(__xludf.DUMMYFUNCTION("GOOGLETRANSLATE(B1046, ""zh"", ""vi"")"),"Tìm kiếm chân lý từ thực tế")</f>
        <v/>
      </c>
      <c r="F1016" s="8" t="inlineStr">
        <is>
          <t>我们说话做事要实事求是。</t>
        </is>
      </c>
      <c r="H1016" s="9">
        <f>G1046=B1046</f>
        <v/>
      </c>
    </row>
    <row r="1017">
      <c r="A1017" s="8" t="inlineStr">
        <is>
          <t>bài 23</t>
        </is>
      </c>
      <c r="B1017" s="11" t="inlineStr">
        <is>
          <t>验证</t>
        </is>
      </c>
      <c r="C1017" s="8" t="inlineStr">
        <is>
          <t>yànzhèng</t>
        </is>
      </c>
      <c r="D1017" s="8" t="inlineStr">
        <is>
          <t>用事实来证明对不对</t>
        </is>
      </c>
      <c r="E1017" s="8">
        <f>IFERROR(__xludf.DUMMYFUNCTION("GOOGLETRANSLATE(B1047, ""zh"", ""vi"")"),"tỉ mỉ")</f>
        <v/>
      </c>
      <c r="F1017" s="8" t="inlineStr">
        <is>
          <t>后来的事实验证了他的判断是对的。</t>
        </is>
      </c>
      <c r="H1017" s="9">
        <f>G1047=B1047</f>
        <v/>
      </c>
    </row>
    <row r="1018">
      <c r="A1018" s="8" t="inlineStr">
        <is>
          <t>bài 23</t>
        </is>
      </c>
      <c r="B1018" s="11" t="inlineStr">
        <is>
          <t>扭转</t>
        </is>
      </c>
      <c r="C1018" s="8">
        <f>pinyin(B1048)</f>
        <v/>
      </c>
      <c r="D1018" s="8" t="inlineStr">
        <is>
          <t>改变方向</t>
        </is>
      </c>
      <c r="E1018" s="8">
        <f>IFERROR(__xludf.DUMMYFUNCTION("GOOGLETRANSLATE(B1048, ""zh"", ""vi"")"),"Điều đó là hiển nhiên")</f>
        <v/>
      </c>
      <c r="F1018" s="8" t="inlineStr">
        <is>
          <t>他努力扭转了落后局面。</t>
        </is>
      </c>
      <c r="H1018" s="9">
        <f>G1048=B1048</f>
        <v/>
      </c>
    </row>
    <row r="1019">
      <c r="A1019" s="8" t="inlineStr">
        <is>
          <t>bài 23</t>
        </is>
      </c>
      <c r="B1019" s="11" t="inlineStr">
        <is>
          <t>被动</t>
        </is>
      </c>
      <c r="C1019" s="8" t="inlineStr">
        <is>
          <t>bèidòng</t>
        </is>
      </c>
      <c r="D1019" s="8" t="inlineStr">
        <is>
          <t>不是自己主动做的</t>
        </is>
      </c>
      <c r="E1019" s="8">
        <f>IFERROR(__xludf.DUMMYFUNCTION("GOOGLETRANSLATE(B1049, ""zh"", ""vi"")"),"huyết áp")</f>
        <v/>
      </c>
      <c r="F1019" s="8" t="inlineStr">
        <is>
          <t>他做事总是很被动，从不主动。</t>
        </is>
      </c>
      <c r="H1019" s="9">
        <f>G1049=B1049</f>
        <v/>
      </c>
    </row>
    <row r="1020">
      <c r="A1020" s="8" t="inlineStr">
        <is>
          <t>bài 23</t>
        </is>
      </c>
      <c r="B1020" s="11" t="inlineStr">
        <is>
          <t>防治</t>
        </is>
      </c>
      <c r="C1020" s="8" t="inlineStr">
        <is>
          <t>fángzhì</t>
        </is>
      </c>
      <c r="D1020" s="8" t="inlineStr">
        <is>
          <t>预防并治疗疾病</t>
        </is>
      </c>
      <c r="E1020" s="8">
        <f>IFERROR(__xludf.DUMMYFUNCTION("GOOGLETRANSLATE(B1050, ""zh"", ""vi"")"),"phụ thuộc")</f>
        <v/>
      </c>
      <c r="F1020" s="8" t="inlineStr">
        <is>
          <t>我们要做好传染病的防治工作。</t>
        </is>
      </c>
      <c r="H1020" s="9">
        <f>G1050=B1050</f>
        <v/>
      </c>
    </row>
    <row r="1021">
      <c r="A1021" s="8" t="inlineStr">
        <is>
          <t>bài 23</t>
        </is>
      </c>
      <c r="B1021" s="11" t="inlineStr">
        <is>
          <t>消灭</t>
        </is>
      </c>
      <c r="C1021" s="8" t="inlineStr">
        <is>
          <t>xiāomiè</t>
        </is>
      </c>
      <c r="D1021" s="8" t="inlineStr">
        <is>
          <t>使完全不存在</t>
        </is>
      </c>
      <c r="E1021" s="8">
        <f>IFERROR(__xludf.DUMMYFUNCTION("GOOGLETRANSLATE(B1051, ""zh"", ""vi"")"),"Thật sự")</f>
        <v/>
      </c>
      <c r="F1021" s="8" t="inlineStr">
        <is>
          <t>我们要消灭一切困难。</t>
        </is>
      </c>
      <c r="H1021" s="9">
        <f>G1051=B1051</f>
        <v/>
      </c>
    </row>
    <row r="1022">
      <c r="A1022" s="8" t="inlineStr">
        <is>
          <t>bài 23</t>
        </is>
      </c>
      <c r="B1022" s="11" t="inlineStr">
        <is>
          <t>萌芽</t>
        </is>
      </c>
      <c r="C1022" s="8">
        <f>pinyin(B1052)</f>
        <v/>
      </c>
      <c r="D1022" s="8" t="inlineStr">
        <is>
          <t>开始生长</t>
        </is>
      </c>
      <c r="E1022" s="8">
        <f>IFERROR(__xludf.DUMMYFUNCTION("GOOGLETRANSLATE(B1052, ""zh"", ""vi"")"),"thực tế")</f>
        <v/>
      </c>
      <c r="F1022" s="8" t="inlineStr">
        <is>
          <t>新的想法正在萌芽。</t>
        </is>
      </c>
      <c r="H1022" s="9">
        <f>G1052=B1052</f>
        <v/>
      </c>
    </row>
    <row r="1023">
      <c r="A1023" s="8" t="inlineStr">
        <is>
          <t>bài 23</t>
        </is>
      </c>
      <c r="B1023" s="11" t="inlineStr">
        <is>
          <t>荒谬</t>
        </is>
      </c>
      <c r="C1023" s="8">
        <f>pinyin(B1053)</f>
        <v/>
      </c>
      <c r="D1023" s="8" t="inlineStr">
        <is>
          <t>不合理</t>
        </is>
      </c>
      <c r="E1023" s="8">
        <f>IFERROR(__xludf.DUMMYFUNCTION("GOOGLETRANSLATE(B1053, ""zh"", ""vi"")"),"hỗ trợ")</f>
        <v/>
      </c>
      <c r="F1023" s="8" t="inlineStr">
        <is>
          <t>他的观点太荒谬了。</t>
        </is>
      </c>
      <c r="H1023" s="9">
        <f>G1053=B1053</f>
        <v/>
      </c>
    </row>
    <row r="1024">
      <c r="A1024" s="8" t="inlineStr">
        <is>
          <t>bài 23</t>
        </is>
      </c>
      <c r="B1024" s="11" t="inlineStr">
        <is>
          <t>先前</t>
        </is>
      </c>
      <c r="C1024" s="8" t="inlineStr">
        <is>
          <t>xiānqián</t>
        </is>
      </c>
      <c r="D1024" s="8" t="inlineStr">
        <is>
          <t>以前的时候</t>
        </is>
      </c>
      <c r="E1024" s="8">
        <f>IFERROR(__xludf.DUMMYFUNCTION("GOOGLETRANSLATE(B1054, ""zh"", ""vi"")"),"trình độ cao")</f>
        <v/>
      </c>
      <c r="F1024" s="8" t="inlineStr">
        <is>
          <t>先前的事情就别再提了。</t>
        </is>
      </c>
      <c r="H1024" s="9">
        <f>G1054=B1054</f>
        <v/>
      </c>
    </row>
    <row r="1025">
      <c r="A1025" s="8" t="inlineStr">
        <is>
          <t>bài 23</t>
        </is>
      </c>
      <c r="B1025" s="11" t="inlineStr">
        <is>
          <t>陈旧</t>
        </is>
      </c>
      <c r="C1025" s="8" t="inlineStr">
        <is>
          <t>chénjiù</t>
        </is>
      </c>
      <c r="D1025" s="8" t="inlineStr">
        <is>
          <t>很旧，不新</t>
        </is>
      </c>
      <c r="E1025" s="8">
        <f>IFERROR(__xludf.DUMMYFUNCTION("GOOGLETRANSLATE(B1055, ""zh"", ""vi"")"),"thiết bị")</f>
        <v/>
      </c>
      <c r="F1025" s="8" t="inlineStr">
        <is>
          <t>这台电脑已经很陈旧了。</t>
        </is>
      </c>
      <c r="H1025" s="9">
        <f>G1055=B1055</f>
        <v/>
      </c>
    </row>
    <row r="1026">
      <c r="A1026" s="8" t="inlineStr">
        <is>
          <t>bài 23</t>
        </is>
      </c>
      <c r="B1026" s="11" t="inlineStr">
        <is>
          <t>前提</t>
        </is>
      </c>
      <c r="C1026" s="8" t="inlineStr">
        <is>
          <t>qiántí</t>
        </is>
      </c>
      <c r="D1026" s="8" t="inlineStr">
        <is>
          <t>先要有的条件</t>
        </is>
      </c>
      <c r="E1026" s="8">
        <f>IFERROR(__xludf.DUMMYFUNCTION("GOOGLETRANSLATE(B1056, ""zh"", ""vi"")"),"Nhân loại")</f>
        <v/>
      </c>
      <c r="F1026" s="8" t="inlineStr">
        <is>
          <t>健康是工作的前提。</t>
        </is>
      </c>
      <c r="H1026" s="9">
        <f>G1056=B1056</f>
        <v/>
      </c>
    </row>
    <row r="1027">
      <c r="A1027" s="8" t="inlineStr">
        <is>
          <t>bài 23</t>
        </is>
      </c>
      <c r="B1027" s="11" t="inlineStr">
        <is>
          <t>交代</t>
        </is>
      </c>
      <c r="C1027" s="8" t="inlineStr">
        <is>
          <t>jiāodài</t>
        </is>
      </c>
      <c r="D1027" s="8" t="inlineStr">
        <is>
          <t>说清楚，安排好</t>
        </is>
      </c>
      <c r="E1027" s="8">
        <f>IFERROR(__xludf.DUMMYFUNCTION("GOOGLETRANSLATE(B1057, ""zh"", ""vi"")"),"triển vọng")</f>
        <v/>
      </c>
      <c r="F1027" s="8" t="inlineStr">
        <is>
          <t>老师把任务交代得很清楚。</t>
        </is>
      </c>
      <c r="H1027" s="9">
        <f>G1057=B1057</f>
        <v/>
      </c>
    </row>
    <row r="1028">
      <c r="A1028" s="8" t="inlineStr">
        <is>
          <t>bài 23</t>
        </is>
      </c>
      <c r="B1028" s="11" t="inlineStr">
        <is>
          <t>追究</t>
        </is>
      </c>
      <c r="C1028" s="8" t="inlineStr">
        <is>
          <t>zhuījiū</t>
        </is>
      </c>
      <c r="D1028" s="8" t="inlineStr">
        <is>
          <t>查清楚责任</t>
        </is>
      </c>
      <c r="E1028" s="8">
        <f>IFERROR(__xludf.DUMMYFUNCTION("GOOGLETRANSLATE(B1058, ""zh"", ""vi"")"),"lâm sàng")</f>
        <v/>
      </c>
      <c r="F1028" s="8" t="inlineStr">
        <is>
          <t>出了问题要追究原因。</t>
        </is>
      </c>
      <c r="H1028" s="9">
        <f>G1058=B1058</f>
        <v/>
      </c>
    </row>
    <row r="1029">
      <c r="A1029" s="8" t="inlineStr">
        <is>
          <t>bài 23</t>
        </is>
      </c>
      <c r="B1029" s="11" t="inlineStr">
        <is>
          <t>基因</t>
        </is>
      </c>
      <c r="C1029" s="8" t="inlineStr">
        <is>
          <t>jīyīn</t>
        </is>
      </c>
      <c r="D1029" s="8" t="inlineStr">
        <is>
          <t>决定遗传的东西</t>
        </is>
      </c>
      <c r="E1029" s="8">
        <f>IFERROR(__xludf.DUMMYFUNCTION("GOOGLETRANSLATE(B1059, ""zh"", ""vi"")"),"duy trì")</f>
        <v/>
      </c>
      <c r="F1029" s="8" t="inlineStr">
        <is>
          <t>这种病和基因有关系。</t>
        </is>
      </c>
      <c r="H1029" s="9">
        <f>G1059=B1059</f>
        <v/>
      </c>
    </row>
    <row r="1030">
      <c r="A1030" s="8" t="inlineStr">
        <is>
          <t>bài 23</t>
        </is>
      </c>
      <c r="B1030" s="11" t="inlineStr">
        <is>
          <t>遗传</t>
        </is>
      </c>
      <c r="C1030" s="8" t="inlineStr">
        <is>
          <t>yíchuán</t>
        </is>
      </c>
      <c r="D1030" s="8" t="inlineStr">
        <is>
          <t>从父母传给孩子</t>
        </is>
      </c>
      <c r="E1030" s="8">
        <f>IFERROR(__xludf.DUMMYFUNCTION("GOOGLETRANSLATE(B1060, ""zh"", ""vi"")"),"sinh lý")</f>
        <v/>
      </c>
      <c r="F1030" s="8" t="inlineStr">
        <is>
          <t>他的近视是遗传的。</t>
        </is>
      </c>
      <c r="H1030" s="9">
        <f>G1060=B1060</f>
        <v/>
      </c>
    </row>
    <row r="1031">
      <c r="A1031" s="8" t="inlineStr">
        <is>
          <t>bài 23</t>
        </is>
      </c>
      <c r="B1031" s="11" t="inlineStr">
        <is>
          <t>预料</t>
        </is>
      </c>
      <c r="C1031" s="8" t="inlineStr">
        <is>
          <t>yùliào</t>
        </is>
      </c>
      <c r="D1031" s="8" t="inlineStr">
        <is>
          <t>提前猜到会发生的事</t>
        </is>
      </c>
      <c r="E1031" s="8">
        <f>IFERROR(__xludf.DUMMYFUNCTION("GOOGLETRANSLATE(B1061, ""zh"", ""vi"")"),"Cứu")</f>
        <v/>
      </c>
      <c r="F1031" s="8" t="inlineStr">
        <is>
          <t>结果完全出乎我的预料。</t>
        </is>
      </c>
      <c r="H1031" s="9">
        <f>G1061=B1061</f>
        <v/>
      </c>
    </row>
    <row r="1032">
      <c r="A1032" s="8" t="inlineStr">
        <is>
          <t>bài 23</t>
        </is>
      </c>
      <c r="B1032" s="11" t="inlineStr">
        <is>
          <t>消除</t>
        </is>
      </c>
      <c r="C1032" s="8">
        <f>pinyin(B1062)</f>
        <v/>
      </c>
      <c r="D1032" s="8" t="inlineStr">
        <is>
          <t>去掉</t>
        </is>
      </c>
      <c r="E1032" s="8">
        <f>IFERROR(__xludf.DUMMYFUNCTION("GOOGLETRANSLATE(B1062, ""zh"", ""vi"")"),"khả thi")</f>
        <v/>
      </c>
      <c r="F1032" s="8" t="inlineStr">
        <is>
          <t>我们要消除安全隐患。</t>
        </is>
      </c>
      <c r="H1032" s="9">
        <f>G1062=B1062</f>
        <v/>
      </c>
    </row>
    <row r="1033">
      <c r="A1033" s="8" t="inlineStr">
        <is>
          <t>bài 23</t>
        </is>
      </c>
      <c r="B1033" s="11" t="inlineStr">
        <is>
          <t>隐患</t>
        </is>
      </c>
      <c r="C1033" s="8">
        <f>pinyin(B1063)</f>
        <v/>
      </c>
      <c r="D1033" s="8" t="inlineStr">
        <is>
          <t>隐藏问题</t>
        </is>
      </c>
      <c r="E1033" s="8">
        <f>IFERROR(__xludf.DUMMYFUNCTION("GOOGLETRANSLATE(B1063, ""zh"", ""vi"")"),"Triển vọng")</f>
        <v/>
      </c>
      <c r="F1033" s="8" t="inlineStr">
        <is>
          <t>这个地方还有很多隐患。</t>
        </is>
      </c>
      <c r="H1033" s="9">
        <f>G1063=B1063</f>
        <v/>
      </c>
    </row>
    <row r="1034">
      <c r="A1034" s="8" t="inlineStr">
        <is>
          <t>bài 23</t>
        </is>
      </c>
      <c r="B1034" s="11" t="inlineStr">
        <is>
          <t>预兆</t>
        </is>
      </c>
      <c r="C1034" s="8">
        <f>pinyin(B1064)</f>
        <v/>
      </c>
      <c r="D1034" s="8" t="inlineStr">
        <is>
          <t>提前信号</t>
        </is>
      </c>
      <c r="E1034" s="8">
        <f>IFERROR(__xludf.DUMMYFUNCTION("GOOGLETRANSLATE(B1064, ""zh"", ""vi"")"),"Xoắn")</f>
        <v/>
      </c>
      <c r="F1034" s="8" t="inlineStr">
        <is>
          <t>乌云是下雨的预兆。</t>
        </is>
      </c>
      <c r="H1034" s="9">
        <f>G1064=B1064</f>
        <v/>
      </c>
    </row>
    <row r="1035">
      <c r="A1035" s="8" t="inlineStr">
        <is>
          <t>bài 23</t>
        </is>
      </c>
      <c r="B1035" s="11" t="inlineStr">
        <is>
          <t>案例</t>
        </is>
      </c>
      <c r="C1035" s="8">
        <f>pinyin(B1065)</f>
        <v/>
      </c>
      <c r="D1035" s="8" t="inlineStr">
        <is>
          <t>真实例子</t>
        </is>
      </c>
      <c r="E1035" s="8">
        <f>IFERROR(__xludf.DUMMYFUNCTION("GOOGLETRANSLATE(B1065, ""zh"", ""vi"")"),"nụ")</f>
        <v/>
      </c>
      <c r="F1035" s="8" t="inlineStr">
        <is>
          <t>这是一个真实案例。</t>
        </is>
      </c>
      <c r="H1035" s="9">
        <f>G1065=B1065</f>
        <v/>
      </c>
    </row>
    <row r="1036">
      <c r="A1036" s="8" t="inlineStr">
        <is>
          <t>bài 23</t>
        </is>
      </c>
      <c r="B1036" s="11" t="inlineStr">
        <is>
          <t>零星</t>
        </is>
      </c>
      <c r="C1036" s="8">
        <f>pinyin(B1066)</f>
        <v/>
      </c>
      <c r="D1036" s="8" t="inlineStr">
        <is>
          <t>很少的</t>
        </is>
      </c>
      <c r="E1036" s="8">
        <f>IFERROR(__xludf.DUMMYFUNCTION("GOOGLETRANSLATE(B1066, ""zh"", ""vi"")"),"vô lý")</f>
        <v/>
      </c>
      <c r="F1036" s="8" t="inlineStr">
        <is>
          <t>现场只有零星几个人。</t>
        </is>
      </c>
      <c r="H1036" s="9">
        <f>G1066=B1066</f>
        <v/>
      </c>
    </row>
    <row r="1037">
      <c r="A1037" s="8" t="inlineStr">
        <is>
          <t>bài 23</t>
        </is>
      </c>
      <c r="B1037" s="11" t="inlineStr">
        <is>
          <t>挽救</t>
        </is>
      </c>
      <c r="C1037" s="8">
        <f>pinyin(B1067)</f>
        <v/>
      </c>
      <c r="D1037" s="8" t="inlineStr">
        <is>
          <t>救回来</t>
        </is>
      </c>
      <c r="E1037" s="8">
        <f>IFERROR(__xludf.DUMMYFUNCTION("GOOGLETRANSLATE(B1067, ""zh"", ""vi"")"),"điềm báo")</f>
        <v/>
      </c>
      <c r="F1037" s="8" t="inlineStr">
        <is>
          <t>医生成功挽救了病人。</t>
        </is>
      </c>
      <c r="H1037" s="9">
        <f>G1067=B1067</f>
        <v/>
      </c>
    </row>
    <row r="1038">
      <c r="A1038" s="8" t="inlineStr">
        <is>
          <t>bài 23</t>
        </is>
      </c>
      <c r="B1038" s="11" t="inlineStr">
        <is>
          <t>细致</t>
        </is>
      </c>
      <c r="C1038" s="8">
        <f>pinyin(B1068)</f>
        <v/>
      </c>
      <c r="D1038" s="8" t="inlineStr">
        <is>
          <t>很仔细</t>
        </is>
      </c>
      <c r="E1038" s="8">
        <f>IFERROR(__xludf.DUMMYFUNCTION("GOOGLETRANSLATE(B1068, ""zh"", ""vi"")"),"loại bỏ")</f>
        <v/>
      </c>
      <c r="F1038" s="8" t="inlineStr">
        <is>
          <t>她做事情特别细致，从不马虎。</t>
        </is>
      </c>
      <c r="H1038" s="9">
        <f>G1068=B1068</f>
        <v/>
      </c>
    </row>
    <row r="1039">
      <c r="A1039" s="8" t="inlineStr">
        <is>
          <t>bài 23</t>
        </is>
      </c>
      <c r="B1039" s="11" t="inlineStr">
        <is>
          <t>不言而喻</t>
        </is>
      </c>
      <c r="C1039" s="8">
        <f>pinyin(B1069)</f>
        <v/>
      </c>
      <c r="D1039" s="8" t="inlineStr">
        <is>
          <t>不用说</t>
        </is>
      </c>
      <c r="E1039" s="8">
        <f>IFERROR(__xludf.DUMMYFUNCTION("GOOGLETRANSLATE(B1069, ""zh"", ""vi"")"),"Nguy hiểm tiềm ẩn")</f>
        <v/>
      </c>
      <c r="F1039" s="8" t="inlineStr">
        <is>
          <t>他的成功是不言而喻的。</t>
        </is>
      </c>
      <c r="H1039" s="9">
        <f>G1069=B1069</f>
        <v/>
      </c>
    </row>
    <row r="1040">
      <c r="A1040" s="8" t="inlineStr">
        <is>
          <t>bài 23</t>
        </is>
      </c>
      <c r="B1040" s="11" t="inlineStr">
        <is>
          <t>血压</t>
        </is>
      </c>
      <c r="C1040" s="8">
        <f>pinyin(B1070)</f>
        <v/>
      </c>
      <c r="D1040" s="8" t="inlineStr">
        <is>
          <t>血压</t>
        </is>
      </c>
      <c r="E1040" s="8">
        <f>IFERROR(__xludf.DUMMYFUNCTION("GOOGLETRANSLATE(B1070, ""zh"", ""vi"")"),"Trường hợp")</f>
        <v/>
      </c>
      <c r="F1040" s="8" t="inlineStr">
        <is>
          <t>爷爷最近血压有点高。</t>
        </is>
      </c>
      <c r="H1040" s="9">
        <f>G1070=B1070</f>
        <v/>
      </c>
    </row>
    <row r="1041">
      <c r="A1041" s="8" t="inlineStr">
        <is>
          <t>bài 23</t>
        </is>
      </c>
      <c r="B1041" s="11" t="inlineStr">
        <is>
          <t>依赖</t>
        </is>
      </c>
      <c r="C1041" s="8">
        <f>pinyin(B1071)</f>
        <v/>
      </c>
      <c r="D1041" s="8" t="inlineStr">
        <is>
          <t>靠别人</t>
        </is>
      </c>
      <c r="E1041" s="8">
        <f>IFERROR(__xludf.DUMMYFUNCTION("GOOGLETRANSLATE(B1071, ""zh"", ""vi"")"),"không thường xuyên")</f>
        <v/>
      </c>
      <c r="F1041" s="8" t="inlineStr">
        <is>
          <t>小孩子太依赖妈妈了。</t>
        </is>
      </c>
      <c r="H1041" s="9">
        <f>G1071=B1071</f>
        <v/>
      </c>
    </row>
    <row r="1042">
      <c r="A1042" s="8" t="inlineStr">
        <is>
          <t>bài 23</t>
        </is>
      </c>
      <c r="B1042" s="11" t="inlineStr">
        <is>
          <t>切切实实</t>
        </is>
      </c>
      <c r="C1042" s="8">
        <f>pinyin(B1072)</f>
        <v/>
      </c>
      <c r="D1042" s="8" t="inlineStr">
        <is>
          <t>真的</t>
        </is>
      </c>
      <c r="E1042" s="8">
        <f>IFERROR(__xludf.DUMMYFUNCTION("GOOGLETRANSLATE(B1072, ""zh"", ""vi"")"),"cứu")</f>
        <v/>
      </c>
      <c r="F1042" s="8" t="inlineStr">
        <is>
          <t>我们要切切实实把工作落实好。</t>
        </is>
      </c>
      <c r="H1042" s="9">
        <f>G1072=B1072</f>
        <v/>
      </c>
    </row>
    <row r="1043">
      <c r="A1043" s="8" t="inlineStr">
        <is>
          <t>bài 23</t>
        </is>
      </c>
      <c r="B1043" s="11" t="inlineStr">
        <is>
          <t>切实</t>
        </is>
      </c>
      <c r="C1043" s="8">
        <f>pinyin(B1073)</f>
        <v/>
      </c>
      <c r="D1043" s="8" t="inlineStr">
        <is>
          <t>确实</t>
        </is>
      </c>
      <c r="E1043" s="8">
        <f>IFERROR(__xludf.DUMMYFUNCTION("GOOGLETRANSLATE(B1073, ""zh"", ""vi"")"),"màn hình")</f>
        <v/>
      </c>
      <c r="F1043" s="8" t="inlineStr">
        <is>
          <t>政府切实帮助了困难家庭。</t>
        </is>
      </c>
      <c r="H1043" s="9">
        <f>G1073=B1073</f>
        <v/>
      </c>
    </row>
    <row r="1044">
      <c r="A1044" s="8" t="inlineStr">
        <is>
          <t>bài 23</t>
        </is>
      </c>
      <c r="B1044" s="11" t="inlineStr">
        <is>
          <t>协助</t>
        </is>
      </c>
      <c r="C1044" s="8">
        <f>pinyin(B1074)</f>
        <v/>
      </c>
      <c r="D1044" s="8" t="inlineStr">
        <is>
          <t>帮忙</t>
        </is>
      </c>
      <c r="E1044" s="8">
        <f>IFERROR(__xludf.DUMMYFUNCTION("GOOGLETRANSLATE(B1074, ""zh"", ""vi"")"),"huyết áp")</f>
        <v/>
      </c>
      <c r="F1044" s="8" t="inlineStr">
        <is>
          <t>谢谢你协助我完成这个项目。</t>
        </is>
      </c>
      <c r="H1044" s="9">
        <f>G1074=B1074</f>
        <v/>
      </c>
    </row>
    <row r="1045">
      <c r="A1045" s="8" t="inlineStr">
        <is>
          <t>bài 23</t>
        </is>
      </c>
      <c r="B1045" s="11" t="inlineStr">
        <is>
          <t>先进</t>
        </is>
      </c>
      <c r="C1045" s="8">
        <f>pinyin(B1075)</f>
        <v/>
      </c>
      <c r="D1045" s="8" t="inlineStr">
        <is>
          <t>很先进</t>
        </is>
      </c>
      <c r="E1045" s="8">
        <f>IFERROR(__xludf.DUMMYFUNCTION("GOOGLETRANSLATE(B1075, ""zh"", ""vi"")"),"trình độ cao")</f>
        <v/>
      </c>
      <c r="F1045" s="8" t="inlineStr">
        <is>
          <t>这个工厂的技术很先进。</t>
        </is>
      </c>
      <c r="H1045" s="9">
        <f>G1075=B1075</f>
        <v/>
      </c>
    </row>
    <row r="1046">
      <c r="A1046" s="8" t="inlineStr">
        <is>
          <t>bài 23</t>
        </is>
      </c>
      <c r="B1046" s="11" t="inlineStr">
        <is>
          <t>器材</t>
        </is>
      </c>
      <c r="C1046" s="8">
        <f>pinyin(B1076)</f>
        <v/>
      </c>
      <c r="D1046" s="8" t="inlineStr">
        <is>
          <t>工具</t>
        </is>
      </c>
      <c r="E1046" s="8">
        <f>IFERROR(__xludf.DUMMYFUNCTION("GOOGLETRANSLATE(B1076, ""zh"", ""vi"")"),"Nhân loại")</f>
        <v/>
      </c>
      <c r="F1046" s="8" t="inlineStr">
        <is>
          <t>健身房里的器材都很齐全。</t>
        </is>
      </c>
      <c r="H1046" s="9">
        <f>G1076=B1076</f>
        <v/>
      </c>
    </row>
    <row r="1047">
      <c r="A1047" s="8" t="inlineStr">
        <is>
          <t>bài 23</t>
        </is>
      </c>
      <c r="B1047" s="11" t="inlineStr">
        <is>
          <t>人为</t>
        </is>
      </c>
      <c r="C1047" s="8">
        <f>pinyin(B1077)</f>
        <v/>
      </c>
      <c r="D1047" s="8" t="inlineStr">
        <is>
          <t>人做出来的</t>
        </is>
      </c>
      <c r="E1047" s="8">
        <f>IFERROR(__xludf.DUMMYFUNCTION("GOOGLETRANSLATE(B1077, ""zh"", ""vi"")"),"Thật sự")</f>
        <v/>
      </c>
      <c r="F1047" s="8" t="inlineStr">
        <is>
          <t>这场事故是人为造成的。</t>
        </is>
      </c>
      <c r="H1047" s="9">
        <f>G1077=B1077</f>
        <v/>
      </c>
    </row>
    <row r="1048">
      <c r="A1048" s="8" t="inlineStr">
        <is>
          <t>bài 23</t>
        </is>
      </c>
      <c r="B1048" s="11" t="inlineStr">
        <is>
          <t>前景</t>
        </is>
      </c>
      <c r="C1048" s="8">
        <f>pinyin(B1078)</f>
        <v/>
      </c>
      <c r="D1048" s="8" t="inlineStr">
        <is>
          <t>未来发展</t>
        </is>
      </c>
      <c r="E1048" s="8">
        <f>IFERROR(__xludf.DUMMYFUNCTION("GOOGLETRANSLATE(B1078, ""zh"", ""vi"")"),"thượng đẳng")</f>
        <v/>
      </c>
      <c r="F1048" s="8" t="inlineStr">
        <is>
          <t>这个行业的前景非常好。</t>
        </is>
      </c>
      <c r="H1048" s="9">
        <f>G1078=B1078</f>
        <v/>
      </c>
    </row>
    <row r="1049">
      <c r="A1049" s="8" t="inlineStr">
        <is>
          <t>bài 23</t>
        </is>
      </c>
      <c r="B1049" s="11" t="inlineStr">
        <is>
          <t>临床</t>
        </is>
      </c>
      <c r="C1049" s="8">
        <f>pinyin(B1079)</f>
        <v/>
      </c>
      <c r="D1049" s="8" t="inlineStr">
        <is>
          <t>看病</t>
        </is>
      </c>
      <c r="E1049" s="8">
        <f>IFERROR(__xludf.DUMMYFUNCTION("GOOGLETRANSLATE(B1079, ""zh"", ""vi"")"),"To To")</f>
        <v/>
      </c>
      <c r="F1049" s="8" t="inlineStr">
        <is>
          <t>医生有丰富的临床经验。</t>
        </is>
      </c>
      <c r="H1049" s="9">
        <f>G1079=B1079</f>
        <v/>
      </c>
    </row>
    <row r="1050">
      <c r="A1050" s="8" t="inlineStr">
        <is>
          <t>bài 23</t>
        </is>
      </c>
      <c r="B1050" s="11" t="inlineStr">
        <is>
          <t>维护</t>
        </is>
      </c>
      <c r="C1050" s="8">
        <f>pinyin(B1080)</f>
        <v/>
      </c>
      <c r="D1050" s="8" t="inlineStr">
        <is>
          <t>保护</t>
        </is>
      </c>
      <c r="E1050" s="8">
        <f>IFERROR(__xludf.DUMMYFUNCTION("GOOGLETRANSLATE(B1080, ""zh"", ""vi"")"),"Cứu")</f>
        <v/>
      </c>
      <c r="F1050" s="8" t="inlineStr">
        <is>
          <t>我们要维护好公共秩序。</t>
        </is>
      </c>
      <c r="H1050" s="9">
        <f>G1080=B1080</f>
        <v/>
      </c>
    </row>
    <row r="1051">
      <c r="A1051" s="8" t="inlineStr">
        <is>
          <t>bài 23</t>
        </is>
      </c>
      <c r="B1051" s="11" t="inlineStr">
        <is>
          <t>生理</t>
        </is>
      </c>
      <c r="C1051" s="8">
        <f>pinyin(B1081)</f>
        <v/>
      </c>
      <c r="D1051" s="8" t="inlineStr">
        <is>
          <t>身体的</t>
        </is>
      </c>
      <c r="E1051" s="8">
        <f>IFERROR(__xludf.DUMMYFUNCTION("GOOGLETRANSLATE(B1081, ""zh"", ""vi"")"),"Tìm kiếm chân lý từ thực tế")</f>
        <v/>
      </c>
      <c r="F1051" s="8" t="inlineStr">
        <is>
          <t>男女生理上有很大区别。</t>
        </is>
      </c>
      <c r="H1051" s="9">
        <f>G1081=B1081</f>
        <v/>
      </c>
    </row>
    <row r="1052">
      <c r="A1052" s="8" t="inlineStr">
        <is>
          <t>bài 23</t>
        </is>
      </c>
      <c r="B1052" s="11" t="inlineStr">
        <is>
          <t>攒</t>
        </is>
      </c>
      <c r="C1052" s="8">
        <f>pinyin(B1082)</f>
        <v/>
      </c>
      <c r="D1052" s="8" t="inlineStr">
        <is>
          <t>存钱</t>
        </is>
      </c>
      <c r="E1052" s="8">
        <f>IFERROR(__xludf.DUMMYFUNCTION("GOOGLETRANSLATE(B1082, ""zh"", ""vi"")"),"Xa")</f>
        <v/>
      </c>
      <c r="F1052" s="8" t="inlineStr">
        <is>
          <t>我正在攒钱买新电脑。</t>
        </is>
      </c>
      <c r="H1052" s="9">
        <f>G1082=B1082</f>
        <v/>
      </c>
    </row>
    <row r="1053">
      <c r="A1053" s="8" t="inlineStr">
        <is>
          <t>bài 23</t>
        </is>
      </c>
      <c r="B1053" s="11" t="inlineStr">
        <is>
          <t>可行</t>
        </is>
      </c>
      <c r="C1053" s="8">
        <f>pinyin(B1083)</f>
        <v/>
      </c>
      <c r="D1053" s="8" t="inlineStr">
        <is>
          <t>可以做</t>
        </is>
      </c>
      <c r="E1053" s="8">
        <f>IFERROR(__xludf.DUMMYFUNCTION("GOOGLETRANSLATE(B1083, ""zh"", ""vi"")"),"cánh đồng")</f>
        <v/>
      </c>
      <c r="F1053" s="8" t="inlineStr">
        <is>
          <t>这个计划完全可行。</t>
        </is>
      </c>
      <c r="H1053" s="9">
        <f>G1083=B1083</f>
        <v/>
      </c>
    </row>
    <row r="1054">
      <c r="A1054" s="8" t="inlineStr">
        <is>
          <t>bài 23</t>
        </is>
      </c>
      <c r="B1054" s="11" t="inlineStr">
        <is>
          <t>展望</t>
        </is>
      </c>
      <c r="C1054" s="8">
        <f>pinyin(B1084)</f>
        <v/>
      </c>
      <c r="D1054" s="8" t="inlineStr">
        <is>
          <t>看未来</t>
        </is>
      </c>
      <c r="E1054" s="8">
        <f>IFERROR(__xludf.DUMMYFUNCTION("GOOGLETRANSLATE(B1084, ""zh"", ""vi"")"),"dự đoán")</f>
        <v/>
      </c>
      <c r="F1054" s="8" t="inlineStr">
        <is>
          <t>展望未来，我们充满希望。</t>
        </is>
      </c>
      <c r="H1054" s="9">
        <f>G1084=B1084</f>
        <v/>
      </c>
    </row>
    <row r="1055">
      <c r="A1055" s="0" t="inlineStr">
        <is>
          <t>bài 24</t>
        </is>
      </c>
      <c r="B1055" s="0" t="inlineStr">
        <is>
          <t>离奇</t>
        </is>
      </c>
      <c r="D1055" s="0" t="inlineStr">
        <is>
          <t>事情发生得很奇怪，让人很难相信</t>
        </is>
      </c>
      <c r="F1055" s="0" t="inlineStr">
        <is>
          <t>这件事情太离奇了，谁都想不到会这样。</t>
        </is>
      </c>
    </row>
    <row r="1056">
      <c r="A1056" s="0" t="inlineStr">
        <is>
          <t>bài 24</t>
        </is>
      </c>
      <c r="B1056" s="0" t="inlineStr">
        <is>
          <t>崇拜</t>
        </is>
      </c>
      <c r="D1056" s="0" t="inlineStr">
        <is>
          <t>非常敬佩某人，把他当作榜样</t>
        </is>
      </c>
      <c r="F1056" s="0" t="inlineStr">
        <is>
          <t>我从小就崇拜那个足球明星。</t>
        </is>
      </c>
    </row>
    <row r="1057">
      <c r="A1057" s="0" t="inlineStr">
        <is>
          <t>bài 24</t>
        </is>
      </c>
      <c r="B1057" s="0" t="inlineStr">
        <is>
          <t>冲击</t>
        </is>
      </c>
      <c r="D1057" s="0" t="inlineStr">
        <is>
          <t>用力撞击或强烈影响</t>
        </is>
      </c>
      <c r="F1057" s="0" t="inlineStr">
        <is>
          <t>海浪冲击着海岸边的石头。</t>
        </is>
      </c>
    </row>
    <row r="1058">
      <c r="A1058" s="0" t="inlineStr">
        <is>
          <t>bài 24</t>
        </is>
      </c>
      <c r="B1058" s="0" t="inlineStr">
        <is>
          <t>拼搏</t>
        </is>
      </c>
      <c r="D1058" s="0" t="inlineStr">
        <is>
          <t>全力以赴地努力奋斗</t>
        </is>
      </c>
      <c r="F1058" s="0" t="inlineStr">
        <is>
          <t>运动员们在赛场上奋力拼搏。</t>
        </is>
      </c>
    </row>
    <row r="1059">
      <c r="A1059" s="0" t="inlineStr">
        <is>
          <t>bài 24</t>
        </is>
      </c>
      <c r="B1059" s="0" t="inlineStr">
        <is>
          <t>聚精会神</t>
        </is>
      </c>
      <c r="D1059" s="0" t="inlineStr">
        <is>
          <t>注意力非常集中，一点都不分散</t>
        </is>
      </c>
      <c r="F1059" s="0" t="inlineStr">
        <is>
          <t>他聚精会神地看比赛，一动不动。</t>
        </is>
      </c>
    </row>
    <row r="1060">
      <c r="A1060" s="0" t="inlineStr">
        <is>
          <t>bài 24</t>
        </is>
      </c>
      <c r="B1060" s="0" t="inlineStr">
        <is>
          <t>防守</t>
        </is>
      </c>
      <c r="D1060" s="0" t="inlineStr">
        <is>
          <t>保护自己的地方不被对方攻入</t>
        </is>
      </c>
      <c r="F1060" s="0" t="inlineStr">
        <is>
          <t>这支球队防守很厉害，对方很难进球。</t>
        </is>
      </c>
    </row>
    <row r="1061">
      <c r="A1061" s="0" t="inlineStr">
        <is>
          <t>bài 24</t>
        </is>
      </c>
      <c r="B1061" s="0" t="inlineStr">
        <is>
          <t>火箭</t>
        </is>
      </c>
      <c r="D1061" s="0" t="inlineStr">
        <is>
          <t>一种飞行速度非常快的飞行器</t>
        </is>
      </c>
      <c r="F1061" s="0" t="inlineStr">
        <is>
          <t>火箭发射后很快就消失在天空了。</t>
        </is>
      </c>
    </row>
    <row r="1062">
      <c r="A1062" s="0" t="inlineStr">
        <is>
          <t>bài 24</t>
        </is>
      </c>
      <c r="B1062" s="0" t="inlineStr">
        <is>
          <t>横</t>
        </is>
      </c>
      <c r="D1062" s="0" t="inlineStr">
        <is>
          <t>态度粗暴，不讲道理</t>
        </is>
      </c>
      <c r="F1062" s="0" t="inlineStr">
        <is>
          <t>那个人说话很横，没人敢跟他吵架。</t>
        </is>
      </c>
    </row>
    <row r="1063">
      <c r="A1063" s="0" t="inlineStr">
        <is>
          <t>bài 24</t>
        </is>
      </c>
      <c r="B1063" s="0" t="inlineStr">
        <is>
          <t>进攻</t>
        </is>
      </c>
      <c r="C1063" s="0" t="inlineStr">
        <is>
          <t>jìngōng</t>
        </is>
      </c>
      <c r="D1063" s="0" t="inlineStr">
        <is>
          <t>向对方发起攻击</t>
        </is>
      </c>
      <c r="F1063" s="0" t="inlineStr">
        <is>
          <t>足球比赛，进攻与防守同等重要。</t>
        </is>
      </c>
    </row>
    <row r="1064">
      <c r="A1064" s="0" t="inlineStr">
        <is>
          <t>bài 24</t>
        </is>
      </c>
      <c r="B1064" s="0" t="inlineStr">
        <is>
          <t>阴谋</t>
        </is>
      </c>
      <c r="D1064" s="0" t="inlineStr">
        <is>
          <t>暗中计划做坏事</t>
        </is>
      </c>
      <c r="F1064" s="0" t="inlineStr">
        <is>
          <t>他的阴谋被朋友们发现了。</t>
        </is>
      </c>
    </row>
    <row r="1065">
      <c r="A1065" s="0" t="inlineStr">
        <is>
          <t>bài 24</t>
        </is>
      </c>
      <c r="B1065" s="0" t="inlineStr">
        <is>
          <t>当场</t>
        </is>
      </c>
      <c r="D1065" s="0" t="inlineStr">
        <is>
          <t>在事情发生的那个地方和时候</t>
        </is>
      </c>
      <c r="F1065" s="0" t="inlineStr">
        <is>
          <t>小偷当场就被警察抓住了。</t>
        </is>
      </c>
    </row>
    <row r="1066">
      <c r="A1066" s="0" t="inlineStr">
        <is>
          <t>bài 24</t>
        </is>
      </c>
      <c r="B1066" s="0" t="inlineStr">
        <is>
          <t>事件</t>
        </is>
      </c>
      <c r="D1066" s="0" t="inlineStr">
        <is>
          <t>已经发生的重要事情</t>
        </is>
      </c>
      <c r="F1066" s="0" t="inlineStr">
        <is>
          <t>这个事件上了新闻头条。</t>
        </is>
      </c>
    </row>
    <row r="1067">
      <c r="A1067" s="0" t="inlineStr">
        <is>
          <t>bài 24</t>
        </is>
      </c>
      <c r="B1067" s="0" t="inlineStr">
        <is>
          <t>遮挡</t>
        </is>
      </c>
      <c r="D1067" s="0" t="inlineStr">
        <is>
          <t>挡住光线或视线</t>
        </is>
      </c>
      <c r="F1067" s="0" t="inlineStr">
        <is>
          <t>大树遮挡住了强烈的阳光。</t>
        </is>
      </c>
    </row>
    <row r="1068">
      <c r="A1068" s="0" t="inlineStr">
        <is>
          <t>bài 24</t>
        </is>
      </c>
      <c r="B1068" s="0" t="inlineStr">
        <is>
          <t>裁判</t>
        </is>
      </c>
      <c r="D1068" s="0" t="inlineStr">
        <is>
          <t>体育比赛中负责判罚的人</t>
        </is>
      </c>
      <c r="F1068" s="0" t="inlineStr">
        <is>
          <t>裁判吹哨结束了比赛。</t>
        </is>
      </c>
    </row>
    <row r="1069">
      <c r="A1069" s="0" t="inlineStr">
        <is>
          <t>bài 24</t>
        </is>
      </c>
      <c r="B1069" s="0" t="inlineStr">
        <is>
          <t>大意</t>
        </is>
      </c>
      <c r="D1069" s="0" t="inlineStr">
        <is>
          <t>做事不小心，忽略了细节</t>
        </is>
      </c>
      <c r="F1069" s="0" t="inlineStr">
        <is>
          <t>他太大意了，把护照忘在家里。</t>
        </is>
      </c>
    </row>
    <row r="1070">
      <c r="A1070" s="0" t="inlineStr">
        <is>
          <t>bài 24</t>
        </is>
      </c>
      <c r="B1070" s="0" t="inlineStr">
        <is>
          <t>悲哀</t>
        </is>
      </c>
      <c r="D1070" s="0" t="inlineStr">
        <is>
          <t>感到非常伤心和难过</t>
        </is>
      </c>
      <c r="F1070" s="0" t="inlineStr">
        <is>
          <t>听到这个消息，她心里很悲哀。</t>
        </is>
      </c>
    </row>
    <row r="1071">
      <c r="A1071" s="0" t="inlineStr">
        <is>
          <t>bài 24</t>
        </is>
      </c>
      <c r="B1071" s="0" t="inlineStr">
        <is>
          <t>主办</t>
        </is>
      </c>
      <c r="D1071" s="0" t="inlineStr">
        <is>
          <t>负责组织和举办活动</t>
        </is>
      </c>
      <c r="F1071" s="0" t="inlineStr">
        <is>
          <t>中国主办了这次国际会议。</t>
        </is>
      </c>
    </row>
    <row r="1072">
      <c r="A1072" s="0" t="inlineStr">
        <is>
          <t>bài 24</t>
        </is>
      </c>
      <c r="B1072" s="0" t="inlineStr">
        <is>
          <t>特意</t>
        </is>
      </c>
      <c r="D1072" s="0" t="inlineStr">
        <is>
          <t>专门为了某个目的去做</t>
        </is>
      </c>
      <c r="F1072" s="0" t="inlineStr">
        <is>
          <t>我特意早点来等你。</t>
        </is>
      </c>
    </row>
    <row r="1073">
      <c r="A1073" s="0" t="inlineStr">
        <is>
          <t>bài 24</t>
        </is>
      </c>
      <c r="B1073" s="0" t="inlineStr">
        <is>
          <t>警告</t>
        </is>
      </c>
      <c r="D1073" s="0" t="inlineStr">
        <is>
          <t>提醒别人注意危险或错误</t>
        </is>
      </c>
      <c r="F1073" s="0" t="inlineStr">
        <is>
          <t>医生警告他不能再喝酒了。</t>
        </is>
      </c>
    </row>
    <row r="1074">
      <c r="A1074" s="0" t="inlineStr">
        <is>
          <t>bài 24</t>
        </is>
      </c>
      <c r="B1074" s="0" t="inlineStr">
        <is>
          <t>疏忽</t>
        </is>
      </c>
      <c r="D1074" s="0" t="inlineStr">
        <is>
          <t>不注意而造成失误</t>
        </is>
      </c>
      <c r="F1074" s="0" t="inlineStr">
        <is>
          <t>因为疏忽，他把文件弄丢了。</t>
        </is>
      </c>
    </row>
    <row r="1075">
      <c r="A1075" s="0" t="inlineStr">
        <is>
          <t>bài 24</t>
        </is>
      </c>
      <c r="B1075" s="0" t="inlineStr">
        <is>
          <t>重心</t>
        </is>
      </c>
      <c r="D1075" s="0" t="inlineStr">
        <is>
          <t>身体或事情的主要平衡点</t>
        </is>
      </c>
      <c r="F1075" s="0" t="inlineStr">
        <is>
          <t>走路时要注意身体重心。</t>
        </is>
      </c>
    </row>
    <row r="1076">
      <c r="A1076" s="0" t="inlineStr">
        <is>
          <t>bài 24</t>
        </is>
      </c>
      <c r="B1076" s="0" t="inlineStr">
        <is>
          <t>中断</t>
        </is>
      </c>
      <c r="D1076" s="0" t="inlineStr">
        <is>
          <t>事情突然停止进行</t>
        </is>
      </c>
      <c r="F1076" s="0" t="inlineStr">
        <is>
          <t>比赛因为下雨而中断了。</t>
        </is>
      </c>
    </row>
    <row r="1077">
      <c r="A1077" s="0" t="inlineStr">
        <is>
          <t>bài 24</t>
        </is>
      </c>
      <c r="B1077" s="0" t="inlineStr">
        <is>
          <t>刹车</t>
        </is>
      </c>
      <c r="D1077" s="0" t="inlineStr">
        <is>
          <t>让车辆或机器停止前进</t>
        </is>
      </c>
      <c r="F1077" s="0" t="inlineStr">
        <is>
          <t>司机赶紧刹车才没撞到人。</t>
        </is>
      </c>
    </row>
    <row r="1078">
      <c r="A1078" s="0" t="inlineStr">
        <is>
          <t>bài 24</t>
        </is>
      </c>
      <c r="B1078" s="0" t="inlineStr">
        <is>
          <t>防御</t>
        </is>
      </c>
      <c r="D1078" s="0" t="inlineStr">
        <is>
          <t>保护自己不受攻击</t>
        </is>
      </c>
      <c r="F1078" s="0" t="inlineStr">
        <is>
          <t>我们要做好防御准备。</t>
        </is>
      </c>
    </row>
    <row r="1079">
      <c r="A1079" s="0" t="inlineStr">
        <is>
          <t>bài 24</t>
        </is>
      </c>
      <c r="B1079" s="0" t="inlineStr">
        <is>
          <t>心态</t>
        </is>
      </c>
      <c r="D1079" s="0" t="inlineStr">
        <is>
          <t>对待事情的心理状态</t>
        </is>
      </c>
      <c r="F1079" s="0" t="inlineStr">
        <is>
          <t>他心态很好，从不抱怨。</t>
        </is>
      </c>
    </row>
    <row r="1080">
      <c r="A1080" s="0" t="inlineStr">
        <is>
          <t>bài 24</t>
        </is>
      </c>
      <c r="B1080" s="0" t="inlineStr">
        <is>
          <t>南辕北辙</t>
        </is>
      </c>
      <c r="D1080" s="0" t="inlineStr">
        <is>
          <t>做法和目标完全相反</t>
        </is>
      </c>
      <c r="F1080" s="0" t="inlineStr">
        <is>
          <t>他们两个的想法完全南辕北辙。</t>
        </is>
      </c>
    </row>
    <row r="1081">
      <c r="A1081" s="0" t="inlineStr">
        <is>
          <t>bài 24</t>
        </is>
      </c>
      <c r="B1081" s="0" t="inlineStr">
        <is>
          <t>注重</t>
        </is>
      </c>
      <c r="D1081" s="0" t="inlineStr">
        <is>
          <t>特别重视某方面</t>
        </is>
      </c>
      <c r="F1081" s="0" t="inlineStr">
        <is>
          <t>公司很注重员工培训。</t>
        </is>
      </c>
    </row>
    <row r="1082">
      <c r="A1082" s="0" t="inlineStr">
        <is>
          <t>bài 24</t>
        </is>
      </c>
      <c r="B1082" s="0" t="inlineStr">
        <is>
          <t>胜负</t>
        </is>
      </c>
      <c r="D1082" s="0" t="inlineStr">
        <is>
          <t>比赛的输赢结果</t>
        </is>
      </c>
      <c r="F1082" s="0" t="inlineStr">
        <is>
          <t>这场比赛胜负还没有分出来。</t>
        </is>
      </c>
    </row>
    <row r="1083">
      <c r="A1083" s="0" t="inlineStr">
        <is>
          <t>bài 24</t>
        </is>
      </c>
      <c r="B1083" s="0" t="inlineStr">
        <is>
          <t>残酷</t>
        </is>
      </c>
      <c r="D1083" s="0" t="inlineStr">
        <is>
          <t>非常冷酷无情</t>
        </is>
      </c>
      <c r="F1083" s="0" t="inlineStr">
        <is>
          <t>比赛的竞争非常残酷。</t>
        </is>
      </c>
    </row>
    <row r="1084">
      <c r="A1084" s="0" t="inlineStr">
        <is>
          <t>bài 24</t>
        </is>
      </c>
      <c r="B1084" s="0" t="inlineStr">
        <is>
          <t>争议</t>
        </is>
      </c>
      <c r="D1084" s="0" t="inlineStr">
        <is>
          <t>大家意见不同，产生争论</t>
        </is>
      </c>
      <c r="F1084" s="0" t="inlineStr">
        <is>
          <t>这个决定引起了很大争议。</t>
        </is>
      </c>
    </row>
    <row r="1085">
      <c r="A1085" s="0" t="inlineStr">
        <is>
          <t>bài 24</t>
        </is>
      </c>
      <c r="B1085" s="0" t="inlineStr">
        <is>
          <t>打仗</t>
        </is>
      </c>
      <c r="D1085" s="0" t="inlineStr">
        <is>
          <t>进行战斗或激烈争论</t>
        </is>
      </c>
      <c r="F1085" s="0" t="inlineStr">
        <is>
          <t>球迷们在网上打了一场嘴仗。</t>
        </is>
      </c>
    </row>
    <row r="1086">
      <c r="A1086" s="0" t="inlineStr">
        <is>
          <t>bài 24</t>
        </is>
      </c>
      <c r="B1086" s="0" t="inlineStr">
        <is>
          <t>打官司</t>
        </is>
      </c>
      <c r="D1086" s="0" t="inlineStr">
        <is>
          <t>通过法律途径解决问题</t>
        </is>
      </c>
      <c r="F1086" s="0" t="inlineStr">
        <is>
          <t>他们要去法院打官司。</t>
        </is>
      </c>
    </row>
    <row r="1087">
      <c r="A1087" s="0" t="inlineStr">
        <is>
          <t>bài 24</t>
        </is>
      </c>
      <c r="B1087" s="0" t="inlineStr">
        <is>
          <t>守护</t>
        </is>
      </c>
      <c r="D1087" s="0" t="inlineStr">
        <is>
          <t>保护某人或某物</t>
        </is>
      </c>
      <c r="F1087" s="0" t="inlineStr">
        <is>
          <t>战士们守护着边境。</t>
        </is>
      </c>
    </row>
    <row r="1088">
      <c r="A1088" s="0" t="inlineStr">
        <is>
          <t>bài 24</t>
        </is>
      </c>
      <c r="B1088" s="0" t="inlineStr">
        <is>
          <t>谴责</t>
        </is>
      </c>
      <c r="D1088" s="0" t="inlineStr">
        <is>
          <t>强烈批评和指责</t>
        </is>
      </c>
      <c r="F1088" s="0" t="inlineStr">
        <is>
          <t>大家一起谴责这种不文明行为。</t>
        </is>
      </c>
    </row>
    <row r="1089">
      <c r="A1089" s="0" t="inlineStr">
        <is>
          <t>bài 24</t>
        </is>
      </c>
      <c r="B1089" s="0" t="inlineStr">
        <is>
          <t>凶手</t>
        </is>
      </c>
      <c r="D1089" s="0" t="inlineStr">
        <is>
          <t>杀害别人的人</t>
        </is>
      </c>
      <c r="F1089" s="0" t="inlineStr">
        <is>
          <t>警察正在抓捕凶手。</t>
        </is>
      </c>
    </row>
    <row r="1090">
      <c r="A1090" s="0" t="inlineStr">
        <is>
          <t>bài 24</t>
        </is>
      </c>
      <c r="B1090" s="0" t="inlineStr">
        <is>
          <t>冤枉</t>
        </is>
      </c>
      <c r="D1090" s="0" t="inlineStr">
        <is>
          <t>被人误会而受到不公正对待</t>
        </is>
      </c>
      <c r="F1090" s="0" t="inlineStr">
        <is>
          <t>他觉得自己被冤枉了。</t>
        </is>
      </c>
    </row>
    <row r="1091">
      <c r="A1091" s="0" t="inlineStr">
        <is>
          <t>bài 24</t>
        </is>
      </c>
      <c r="B1091" s="0" t="inlineStr">
        <is>
          <t>辩解</t>
        </is>
      </c>
      <c r="D1091" s="0" t="inlineStr">
        <is>
          <t>解释说明自己没有错</t>
        </is>
      </c>
      <c r="F1091" s="0" t="inlineStr">
        <is>
          <t>他急忙辩解说不是自己干的。</t>
        </is>
      </c>
    </row>
    <row r="1092">
      <c r="A1092" s="0" t="inlineStr">
        <is>
          <t>bài 24</t>
        </is>
      </c>
      <c r="B1092" s="0" t="inlineStr">
        <is>
          <t>成心</t>
        </is>
      </c>
      <c r="D1092" s="0" t="inlineStr">
        <is>
          <t>故意去做某事</t>
        </is>
      </c>
      <c r="F1092" s="0" t="inlineStr">
        <is>
          <t>我不是成心要迟到的。</t>
        </is>
      </c>
    </row>
    <row r="1093">
      <c r="A1093" s="0" t="inlineStr">
        <is>
          <t>bài 24</t>
        </is>
      </c>
      <c r="B1093" s="0" t="inlineStr">
        <is>
          <t>意料</t>
        </is>
      </c>
      <c r="D1093" s="0" t="inlineStr">
        <is>
          <t>事先想到或预料到</t>
        </is>
      </c>
      <c r="F1093" s="0" t="inlineStr">
        <is>
          <t>这个结果完全出乎意料。</t>
        </is>
      </c>
    </row>
    <row r="1094">
      <c r="A1094" s="0" t="inlineStr">
        <is>
          <t>bài 24</t>
        </is>
      </c>
      <c r="B1094" s="0" t="inlineStr">
        <is>
          <t>频繁</t>
        </is>
      </c>
      <c r="D1094" s="0" t="inlineStr">
        <is>
          <t>次数很多，经常发生</t>
        </is>
      </c>
      <c r="F1094" s="0" t="inlineStr">
        <is>
          <t>他最近频繁去国外出差。</t>
        </is>
      </c>
    </row>
    <row r="1095">
      <c r="A1095" s="0" t="inlineStr">
        <is>
          <t>bài 24</t>
        </is>
      </c>
      <c r="B1095" s="0" t="inlineStr">
        <is>
          <t>航空</t>
        </is>
      </c>
      <c r="D1095" s="0" t="inlineStr">
        <is>
          <t>跟飞机飞行有关的事物</t>
        </is>
      </c>
      <c r="F1095" s="0" t="inlineStr">
        <is>
          <t>他在航空公司工作。</t>
        </is>
      </c>
    </row>
    <row r="1096">
      <c r="A1096" s="0" t="inlineStr">
        <is>
          <t>bài 24</t>
        </is>
      </c>
      <c r="B1096" s="0" t="inlineStr">
        <is>
          <t>熨</t>
        </is>
      </c>
      <c r="D1096" s="0" t="inlineStr">
        <is>
          <t>用熨斗把衣服烫平</t>
        </is>
      </c>
      <c r="F1096" s="0" t="inlineStr">
        <is>
          <t>妈妈正在熨衣服。</t>
        </is>
      </c>
    </row>
    <row r="1097">
      <c r="A1097" s="0" t="inlineStr">
        <is>
          <t>bài 24</t>
        </is>
      </c>
      <c r="B1097" s="0" t="inlineStr">
        <is>
          <t>磕</t>
        </is>
      </c>
      <c r="D1097" s="0" t="inlineStr">
        <is>
          <t>身体部位碰到硬物受伤</t>
        </is>
      </c>
      <c r="F1097" s="0" t="inlineStr">
        <is>
          <t>他走路不小心磕破了头。</t>
        </is>
      </c>
    </row>
    <row r="1098">
      <c r="A1098" s="0" t="inlineStr">
        <is>
          <t>bài 24</t>
        </is>
      </c>
      <c r="B1098" s="0" t="inlineStr">
        <is>
          <t>嘴唇</t>
        </is>
      </c>
      <c r="D1098" s="0" t="inlineStr">
        <is>
          <t>嘴巴外面的一圈皮肤</t>
        </is>
      </c>
      <c r="F1098" s="0" t="inlineStr">
        <is>
          <t>他紧张得嘴唇发白。</t>
        </is>
      </c>
    </row>
    <row r="1099">
      <c r="A1099" s="0" t="inlineStr">
        <is>
          <t>bài 24</t>
        </is>
      </c>
      <c r="B1099" s="0" t="inlineStr">
        <is>
          <t>拽</t>
        </is>
      </c>
      <c r="D1099" s="0" t="inlineStr">
        <is>
          <t>用力拉扯东西</t>
        </is>
      </c>
      <c r="F1099" s="0" t="inlineStr">
        <is>
          <t>别拽我，衣服要坏了。</t>
        </is>
      </c>
    </row>
    <row r="1100">
      <c r="A1100" s="0" t="inlineStr">
        <is>
          <t>bài 24</t>
        </is>
      </c>
      <c r="B1100" s="0" t="inlineStr">
        <is>
          <t>乐极生悲</t>
        </is>
      </c>
      <c r="D1100" s="0" t="inlineStr">
        <is>
          <t>高兴过了头反而发生坏事</t>
        </is>
      </c>
      <c r="F1100" s="0" t="inlineStr">
        <is>
          <t>他高兴得太早，结果乐极生悲。</t>
        </is>
      </c>
    </row>
    <row r="1101">
      <c r="A1101" s="0" t="inlineStr">
        <is>
          <t>bài 24</t>
        </is>
      </c>
      <c r="B1101" s="0" t="inlineStr">
        <is>
          <t>恼火</t>
        </is>
      </c>
      <c r="D1101" s="0" t="inlineStr">
        <is>
          <t>心里很生气</t>
        </is>
      </c>
      <c r="F1101" s="0" t="inlineStr">
        <is>
          <t>听到这话他非常恼火。</t>
        </is>
      </c>
    </row>
    <row r="1102">
      <c r="A1102" s="0" t="inlineStr">
        <is>
          <t>bài 24</t>
        </is>
      </c>
      <c r="B1102" s="0" t="inlineStr">
        <is>
          <t>雪上加霜</t>
        </is>
      </c>
      <c r="D1102" s="0" t="inlineStr">
        <is>
          <t>坏事接连发生，情况更糟</t>
        </is>
      </c>
      <c r="F1102" s="0" t="inlineStr">
        <is>
          <t>他的病还没好，又丢了工作，真是雪上加霜。</t>
        </is>
      </c>
    </row>
    <row r="1103">
      <c r="A1103" s="0" t="inlineStr">
        <is>
          <t>bài 24</t>
        </is>
      </c>
      <c r="B1103" s="0" t="inlineStr">
        <is>
          <t>荒唐</t>
        </is>
      </c>
      <c r="D1103" s="0" t="inlineStr">
        <is>
          <t>想法或做法非常不合理</t>
        </is>
      </c>
      <c r="F1103" s="0" t="inlineStr">
        <is>
          <t>这个想法太荒唐了。</t>
        </is>
      </c>
    </row>
    <row r="1104">
      <c r="A1104" s="0" t="inlineStr">
        <is>
          <t>bài 24</t>
        </is>
      </c>
      <c r="B1104" s="0" t="inlineStr">
        <is>
          <t>指甲</t>
        </is>
      </c>
      <c r="D1104" s="0" t="inlineStr">
        <is>
          <t>手指尖上的硬壳</t>
        </is>
      </c>
      <c r="F1104" s="0" t="inlineStr">
        <is>
          <t>她喜欢涂指甲油。</t>
        </is>
      </c>
    </row>
    <row r="1105">
      <c r="A1105" s="0" t="inlineStr">
        <is>
          <t>bài 24</t>
        </is>
      </c>
      <c r="B1105" s="0" t="inlineStr">
        <is>
          <t>处置</t>
        </is>
      </c>
      <c r="D1105" s="0" t="inlineStr">
        <is>
          <t>处理和解决事情</t>
        </is>
      </c>
      <c r="F1105" s="0" t="inlineStr">
        <is>
          <t>这些旧东西需要尽快处置。</t>
        </is>
      </c>
    </row>
    <row r="1106">
      <c r="A1106" s="0" t="inlineStr">
        <is>
          <t>bài 24</t>
        </is>
      </c>
      <c r="B1106" s="0" t="inlineStr">
        <is>
          <t>电钻</t>
        </is>
      </c>
      <c r="D1106" s="0" t="inlineStr">
        <is>
          <t>用来打孔的电动工具</t>
        </is>
      </c>
      <c r="F1106" s="0" t="inlineStr">
        <is>
          <t>工人用电钻在墙上打孔。</t>
        </is>
      </c>
    </row>
    <row r="1107">
      <c r="A1107" s="0" t="inlineStr">
        <is>
          <t>bài 24</t>
        </is>
      </c>
      <c r="B1107" s="0" t="inlineStr">
        <is>
          <t>遭受</t>
        </is>
      </c>
      <c r="D1107" s="0" t="inlineStr">
        <is>
          <t>遇到不好的事情</t>
        </is>
      </c>
      <c r="F1107" s="0" t="inlineStr">
        <is>
          <t>这个城市遭受了严重暴雨。</t>
        </is>
      </c>
    </row>
    <row r="1108">
      <c r="A1108" s="0" t="inlineStr">
        <is>
          <t>bài 24</t>
        </is>
      </c>
      <c r="B1108" s="0" t="inlineStr">
        <is>
          <t>微不足道</t>
        </is>
      </c>
      <c r="D1108" s="0" t="inlineStr">
        <is>
          <t>非常小，不值得一提</t>
        </is>
      </c>
      <c r="F1108" s="0" t="inlineStr">
        <is>
          <t>这点小忙微不足道，不用客气。</t>
        </is>
      </c>
    </row>
    <row r="1109">
      <c r="A1109" s="0" t="inlineStr">
        <is>
          <t>bài 25</t>
        </is>
      </c>
      <c r="B1109" s="0" t="inlineStr">
        <is>
          <t>服气</t>
        </is>
      </c>
      <c r="D1109" s="0" t="inlineStr">
        <is>
          <t>心服口服，承认别人比自己强</t>
        </is>
      </c>
      <c r="F1109" s="0" t="inlineStr">
        <is>
          <t>小明不知为何被老师训斥了一顿，心里很不服气。</t>
        </is>
      </c>
    </row>
    <row r="1110">
      <c r="A1110" s="0" t="inlineStr">
        <is>
          <t>bài 25</t>
        </is>
      </c>
      <c r="B1110" s="0" t="inlineStr">
        <is>
          <t>军队</t>
        </is>
      </c>
      <c r="D1110" s="0" t="inlineStr">
        <is>
          <t>军队</t>
        </is>
      </c>
      <c r="F1110" s="0" t="inlineStr">
        <is>
          <t>军队平时加强训练，战时才能打胜仗。</t>
        </is>
      </c>
    </row>
    <row r="1111">
      <c r="A1111" s="0" t="inlineStr">
        <is>
          <t>bài 25</t>
        </is>
      </c>
      <c r="B1111" s="0" t="inlineStr">
        <is>
          <t>武器</t>
        </is>
      </c>
      <c r="D1111" s="0" t="inlineStr">
        <is>
          <t>武器，打仗用的东西</t>
        </is>
      </c>
      <c r="F1111" s="0" t="inlineStr">
        <is>
          <t>人民解放军全面更新了武器装备。</t>
        </is>
      </c>
    </row>
    <row r="1112">
      <c r="A1112" s="0" t="inlineStr">
        <is>
          <t>bài 25</t>
        </is>
      </c>
      <c r="B1112" s="0" t="inlineStr">
        <is>
          <t>当务之急</t>
        </is>
      </c>
      <c r="D1112" s="0" t="inlineStr">
        <is>
          <t>现在最重要、最紧急要做的事</t>
        </is>
      </c>
      <c r="F1112" s="0" t="inlineStr">
        <is>
          <t>现在当务之急是解决住宿问题。</t>
        </is>
      </c>
    </row>
    <row r="1113">
      <c r="A1113" s="0" t="inlineStr">
        <is>
          <t>bài 25</t>
        </is>
      </c>
      <c r="B1113" s="0" t="inlineStr">
        <is>
          <t>承办</t>
        </is>
      </c>
      <c r="D1113" s="0" t="inlineStr">
        <is>
          <t>负责组织、承办活动</t>
        </is>
      </c>
      <c r="F1113" s="0" t="inlineStr">
        <is>
          <t>中国承办了2008年的北京奥运会。</t>
        </is>
      </c>
    </row>
    <row r="1114">
      <c r="A1114" s="0" t="inlineStr">
        <is>
          <t>bài 25</t>
        </is>
      </c>
      <c r="B1114" s="0" t="inlineStr">
        <is>
          <t>委托</t>
        </is>
      </c>
      <c r="D1114" s="0" t="inlineStr">
        <is>
          <t>把事情交给别人帮忙做</t>
        </is>
      </c>
      <c r="F1114" s="0" t="inlineStr">
        <is>
          <t>这件事，我已委托同事全权办理。</t>
        </is>
      </c>
    </row>
    <row r="1115">
      <c r="A1115" s="0" t="inlineStr">
        <is>
          <t>bài 25</t>
        </is>
      </c>
      <c r="B1115" s="0" t="inlineStr">
        <is>
          <t>即将</t>
        </is>
      </c>
      <c r="D1115" s="0" t="inlineStr">
        <is>
          <t>马上就要，快要发生</t>
        </is>
      </c>
      <c r="F1115" s="0" t="inlineStr">
        <is>
          <t>天色越来越阴暗了，一场暴风雪即将到来。</t>
        </is>
      </c>
    </row>
    <row r="1116">
      <c r="A1116" s="0" t="inlineStr">
        <is>
          <t>bài 25</t>
        </is>
      </c>
      <c r="B1116" s="0" t="inlineStr">
        <is>
          <t>紧迫</t>
        </is>
      </c>
      <c r="D1116" s="0" t="inlineStr">
        <is>
          <t>很紧急，时间不够</t>
        </is>
      </c>
      <c r="F1116" s="0" t="inlineStr">
        <is>
          <t>时间非常紧迫，我们要立即行动。</t>
        </is>
      </c>
    </row>
    <row r="1117">
      <c r="A1117" s="0" t="inlineStr">
        <is>
          <t>bài 25</t>
        </is>
      </c>
      <c r="B1117" s="0" t="inlineStr">
        <is>
          <t>公务</t>
        </is>
      </c>
      <c r="D1117" s="0" t="inlineStr">
        <is>
          <t>公家的事，政府的工作</t>
        </is>
      </c>
      <c r="F1117" s="0" t="inlineStr">
        <is>
          <t>政府授权给那家机构去执行公务。</t>
        </is>
      </c>
    </row>
    <row r="1118">
      <c r="A1118" s="0" t="inlineStr">
        <is>
          <t>bài 25</t>
        </is>
      </c>
      <c r="B1118" s="0" t="inlineStr">
        <is>
          <t>款待</t>
        </is>
      </c>
      <c r="D1118" s="0" t="inlineStr">
        <is>
          <t>热情招待客人</t>
        </is>
      </c>
      <c r="F1118" s="0" t="inlineStr">
        <is>
          <t>今天，我们在家里款待远方来的客人。</t>
        </is>
      </c>
    </row>
    <row r="1119">
      <c r="A1119" s="0" t="inlineStr">
        <is>
          <t>bài 25</t>
        </is>
      </c>
      <c r="B1119" s="0" t="inlineStr">
        <is>
          <t>叮嘱</t>
        </is>
      </c>
      <c r="D1119" s="0" t="inlineStr">
        <is>
          <t>反复叮咛、嘱咐</t>
        </is>
      </c>
      <c r="F1119" s="0" t="inlineStr">
        <is>
          <t>老师一再叮嘱我们，过马路要注意安全。</t>
        </is>
      </c>
    </row>
    <row r="1120">
      <c r="A1120" s="0" t="inlineStr">
        <is>
          <t>bài 25</t>
        </is>
      </c>
      <c r="B1120" s="0" t="inlineStr">
        <is>
          <t>算数</t>
        </is>
      </c>
      <c r="D1120" s="0" t="inlineStr">
        <is>
          <t>说话算话，遵守承诺</t>
        </is>
      </c>
      <c r="F1120" s="0" t="inlineStr">
        <is>
          <t>你既然答应他了，就要说话算数。</t>
        </is>
      </c>
    </row>
    <row r="1121">
      <c r="A1121" s="0" t="inlineStr">
        <is>
          <t>bài 25</t>
        </is>
      </c>
      <c r="B1121" s="0" t="inlineStr">
        <is>
          <t>逼迫</t>
        </is>
      </c>
      <c r="D1121" s="0" t="inlineStr">
        <is>
          <t>强迫别人做不愿意做的事</t>
        </is>
      </c>
      <c r="F1121" s="0" t="inlineStr">
        <is>
          <t>孩子不安心学习，父母不要逼迫他，更不能打骂。</t>
        </is>
      </c>
    </row>
    <row r="1122">
      <c r="A1122" s="0" t="inlineStr">
        <is>
          <t>bài 25</t>
        </is>
      </c>
      <c r="B1122" s="0" t="inlineStr">
        <is>
          <t>响亮</t>
        </is>
      </c>
      <c r="D1122" s="0" t="inlineStr">
        <is>
          <t>声音很大很清楚</t>
        </is>
      </c>
      <c r="F1122" s="0" t="inlineStr">
        <is>
          <t>她回答问题声音特别响亮。</t>
        </is>
      </c>
    </row>
    <row r="1123">
      <c r="A1123" s="0" t="inlineStr">
        <is>
          <t>bài 25</t>
        </is>
      </c>
      <c r="B1123" s="0" t="inlineStr">
        <is>
          <t>吩咐</t>
        </is>
      </c>
      <c r="D1123" s="0" t="inlineStr">
        <is>
          <t>吩咐、叫别人去做</t>
        </is>
      </c>
      <c r="F1123" s="0" t="inlineStr">
        <is>
          <t>老师吩咐小明打扫教室的卫生。</t>
        </is>
      </c>
    </row>
    <row r="1124">
      <c r="A1124" s="0" t="inlineStr">
        <is>
          <t>bài 25</t>
        </is>
      </c>
      <c r="B1124" s="0" t="inlineStr">
        <is>
          <t>下属</t>
        </is>
      </c>
      <c r="D1124" s="0" t="inlineStr">
        <is>
          <t>下级工作人员</t>
        </is>
      </c>
      <c r="F1124" s="0" t="inlineStr">
        <is>
          <t>听了下属的意见，他决定改正以前的工作作风。</t>
        </is>
      </c>
    </row>
    <row r="1125">
      <c r="A1125" s="0" t="inlineStr">
        <is>
          <t>bài 25</t>
        </is>
      </c>
      <c r="B1125" s="0" t="inlineStr">
        <is>
          <t>充足</t>
        </is>
      </c>
      <c r="D1125" s="0" t="inlineStr">
        <is>
          <t>足够多，很充足</t>
        </is>
      </c>
      <c r="F1125" s="0" t="inlineStr">
        <is>
          <t>商店里，各种商品数量充足，价格稳定。</t>
        </is>
      </c>
    </row>
    <row r="1126">
      <c r="A1126" s="0" t="inlineStr">
        <is>
          <t>bài 25</t>
        </is>
      </c>
      <c r="B1126" s="0" t="inlineStr">
        <is>
          <t>拖延</t>
        </is>
      </c>
      <c r="D1126" s="0" t="inlineStr">
        <is>
          <t>拖长时间，不及时完成</t>
        </is>
      </c>
      <c r="F1126" s="0" t="inlineStr">
        <is>
          <t>你病得很重，赶快上医院，不能再拖延了。</t>
        </is>
      </c>
    </row>
    <row r="1127">
      <c r="A1127" s="0" t="inlineStr">
        <is>
          <t>bài 25</t>
        </is>
      </c>
      <c r="B1127" s="0" t="inlineStr">
        <is>
          <t>期限</t>
        </is>
      </c>
      <c r="D1127" s="0" t="inlineStr">
        <is>
          <t>最后必须完成的期限</t>
        </is>
      </c>
      <c r="F1127" s="0" t="inlineStr">
        <is>
          <t>工程的截止期限是本月二十日。</t>
        </is>
      </c>
    </row>
    <row r="1128">
      <c r="A1128" s="0" t="inlineStr">
        <is>
          <t>bài 25</t>
        </is>
      </c>
      <c r="B1128" s="0" t="inlineStr">
        <is>
          <t>活该</t>
        </is>
      </c>
      <c r="D1128" s="0" t="inlineStr">
        <is>
          <t>活该，自作自受</t>
        </is>
      </c>
      <c r="F1128" s="0" t="inlineStr">
        <is>
          <t>他总是不听家人和朋友的劝告，终于受骗了，活该！</t>
        </is>
      </c>
    </row>
    <row r="1129">
      <c r="A1129" s="0" t="inlineStr">
        <is>
          <t>bài 25</t>
        </is>
      </c>
      <c r="B1129" s="0" t="inlineStr">
        <is>
          <t>探听</t>
        </is>
      </c>
      <c r="D1129" s="0" t="inlineStr">
        <is>
          <t>偷偷打听消息</t>
        </is>
      </c>
      <c r="F1129" s="0" t="inlineStr">
        <is>
          <t>他深入敌区探听敌情，非常危险。</t>
        </is>
      </c>
    </row>
    <row r="1130">
      <c r="A1130" s="0" t="inlineStr">
        <is>
          <t>bài 25</t>
        </is>
      </c>
      <c r="B1130" s="0" t="inlineStr">
        <is>
          <t>笼罩</t>
        </is>
      </c>
      <c r="C1130" s="0" t="inlineStr">
        <is>
          <t>lǒngzhào</t>
        </is>
      </c>
      <c r="D1130" s="0" t="inlineStr">
        <is>
          <t>像盖子一样盖在上面</t>
        </is>
      </c>
      <c r="F1130" s="0" t="inlineStr">
        <is>
          <t>清晨，浓雾笼罩着整个山谷。</t>
        </is>
      </c>
    </row>
    <row r="1131">
      <c r="A1131" s="0" t="inlineStr">
        <is>
          <t>bài 25</t>
        </is>
      </c>
      <c r="B1131" s="0" t="inlineStr">
        <is>
          <t>启程</t>
        </is>
      </c>
      <c r="C1131" s="0" t="inlineStr">
        <is>
          <t>qǐchéng</t>
        </is>
      </c>
      <c r="D1131" s="0" t="inlineStr">
        <is>
          <t>开始出发去某个地方</t>
        </is>
      </c>
      <c r="F1131" s="0" t="inlineStr">
        <is>
          <t>明天早上八点，我们就要启程去北京了。</t>
        </is>
      </c>
    </row>
    <row r="1132">
      <c r="A1132" s="0" t="inlineStr">
        <is>
          <t>bài 25</t>
        </is>
      </c>
      <c r="B1132" s="0" t="inlineStr">
        <is>
          <t>大致</t>
        </is>
      </c>
      <c r="D1132" s="0" t="inlineStr">
        <is>
          <t>大概、大致</t>
        </is>
      </c>
      <c r="F1132" s="0" t="inlineStr">
        <is>
          <t>大家对会议的内容作了大致的记录。</t>
        </is>
      </c>
    </row>
    <row r="1133">
      <c r="A1133" s="0" t="inlineStr">
        <is>
          <t>bài 25</t>
        </is>
      </c>
      <c r="B1133" s="0" t="inlineStr">
        <is>
          <t>圆满</t>
        </is>
      </c>
      <c r="D1133" s="0" t="inlineStr">
        <is>
          <t>圆满、完美地完成</t>
        </is>
      </c>
      <c r="F1133" s="0" t="inlineStr">
        <is>
          <t>在大家共同努力下，圆满地完成了演出。</t>
        </is>
      </c>
    </row>
    <row r="1134">
      <c r="A1134" s="0" t="inlineStr">
        <is>
          <t>bài 25</t>
        </is>
      </c>
      <c r="B1134" s="0" t="inlineStr">
        <is>
          <t>叹气</t>
        </is>
      </c>
      <c r="D1134" s="0" t="inlineStr">
        <is>
          <t>叹气，因为失望或难过而呼气</t>
        </is>
      </c>
      <c r="F1134" s="0" t="inlineStr">
        <is>
          <t>中国人常说，没事的时候不要叹气，不吉利。</t>
        </is>
      </c>
    </row>
    <row r="1135">
      <c r="A1135" s="0" t="inlineStr">
        <is>
          <t>bài 25</t>
        </is>
      </c>
      <c r="B1135" s="0" t="inlineStr">
        <is>
          <t>天才</t>
        </is>
      </c>
      <c r="D1135" s="0" t="inlineStr">
        <is>
          <t>天才，天生特别聪明的人</t>
        </is>
      </c>
      <c r="F1135" s="0" t="inlineStr">
        <is>
          <t>爱迪生是位真正的天才。</t>
        </is>
      </c>
    </row>
    <row r="1136">
      <c r="A1136" s="0" t="inlineStr">
        <is>
          <t>bài 25</t>
        </is>
      </c>
      <c r="B1136" s="0" t="inlineStr">
        <is>
          <t>高明</t>
        </is>
      </c>
      <c r="D1136" s="0" t="inlineStr">
        <is>
          <t>高明，非常厉害、聪明</t>
        </is>
      </c>
      <c r="F1136" s="0" t="inlineStr">
        <is>
          <t>王先生的射箭技术十分高明。</t>
        </is>
      </c>
    </row>
    <row r="1137">
      <c r="A1137" s="0" t="inlineStr">
        <is>
          <t>bài 25</t>
        </is>
      </c>
      <c r="B1137" s="0" t="inlineStr">
        <is>
          <t>汇报</t>
        </is>
      </c>
      <c r="D1137" s="0" t="inlineStr">
        <is>
          <t>向上级报告工作</t>
        </is>
      </c>
      <c r="F1137" s="0" t="inlineStr">
        <is>
          <t>老师正在听取班干部的汇报。</t>
        </is>
      </c>
    </row>
    <row r="1138">
      <c r="A1138" s="0" t="inlineStr">
        <is>
          <t>bài 25</t>
        </is>
      </c>
      <c r="B1138" s="0" t="inlineStr">
        <is>
          <t>探望</t>
        </is>
      </c>
      <c r="D1138" s="0" t="inlineStr">
        <is>
          <t>去探访、看望别人</t>
        </is>
      </c>
      <c r="F1138" s="0" t="inlineStr">
        <is>
          <t>暑假里，妈妈带我特地去北京探望外婆。</t>
        </is>
      </c>
    </row>
    <row r="1139">
      <c r="A1139" s="0" t="inlineStr">
        <is>
          <t>bài 25</t>
        </is>
      </c>
      <c r="B1139" s="0" t="inlineStr">
        <is>
          <t>寒暄</t>
        </is>
      </c>
      <c r="D1139" s="0" t="inlineStr">
        <is>
          <t>见面时说客气话、聊天</t>
        </is>
      </c>
      <c r="F1139" s="0" t="inlineStr">
        <is>
          <t>回家途中遇到一个故友，不得不停下寒暄几句。</t>
        </is>
      </c>
    </row>
    <row r="1140">
      <c r="A1140" s="0" t="inlineStr">
        <is>
          <t>bài 25</t>
        </is>
      </c>
      <c r="B1140" s="0" t="inlineStr">
        <is>
          <t>为难</t>
        </is>
      </c>
      <c r="D1140" s="0" t="inlineStr">
        <is>
          <t>让人为难、不好办</t>
        </is>
      </c>
      <c r="F1140" s="0" t="inlineStr">
        <is>
          <t>这个问题太难了，真是把我为难住了。</t>
        </is>
      </c>
    </row>
    <row r="1141">
      <c r="A1141" s="0" t="inlineStr">
        <is>
          <t>bài 25</t>
        </is>
      </c>
      <c r="B1141" s="0" t="inlineStr">
        <is>
          <t>严密</t>
        </is>
      </c>
      <c r="D1141" s="0" t="inlineStr">
        <is>
          <t>严密、没有漏洞</t>
        </is>
      </c>
      <c r="F1141" s="0" t="inlineStr">
        <is>
          <t>这瓶罐头封口不严密，已经变质了。</t>
        </is>
      </c>
    </row>
    <row r="1142">
      <c r="A1142" s="0" t="inlineStr">
        <is>
          <t>bài 25</t>
        </is>
      </c>
      <c r="B1142" s="0" t="inlineStr">
        <is>
          <t>侧面</t>
        </is>
      </c>
      <c r="D1142" s="0" t="inlineStr">
        <is>
          <t>侧面，从旁边看</t>
        </is>
      </c>
      <c r="F1142" s="0" t="inlineStr">
        <is>
          <t>那尊塑像表现的是他的侧面。</t>
        </is>
      </c>
    </row>
    <row r="1143">
      <c r="A1143" s="0" t="inlineStr">
        <is>
          <t>bài 25</t>
        </is>
      </c>
      <c r="B1143" s="0" t="inlineStr">
        <is>
          <t>机密</t>
        </is>
      </c>
      <c r="D1143" s="0" t="inlineStr">
        <is>
          <t>很秘密、不能让别人知道的事</t>
        </is>
      </c>
      <c r="F1143" s="0" t="inlineStr">
        <is>
          <t>这些机密信息必须严格保管，不能泄露给任何人。</t>
        </is>
      </c>
    </row>
    <row r="1144">
      <c r="A1144" s="0" t="inlineStr">
        <is>
          <t>bài 25</t>
        </is>
      </c>
      <c r="B1144" s="0" t="inlineStr">
        <is>
          <t>保密</t>
        </is>
      </c>
      <c r="D1144" s="0" t="inlineStr">
        <is>
          <t>保守秘密，不告诉别人</t>
        </is>
      </c>
      <c r="F1144" s="0" t="inlineStr">
        <is>
          <t>对这项工作计划，大家一定要保密。</t>
        </is>
      </c>
    </row>
    <row r="1145">
      <c r="A1145" s="0" t="inlineStr">
        <is>
          <t>bài 25</t>
        </is>
      </c>
      <c r="B1145" s="0" t="inlineStr">
        <is>
          <t>走漏</t>
        </is>
      </c>
      <c r="D1145" s="0" t="inlineStr">
        <is>
          <t>消息泄露出去</t>
        </is>
      </c>
      <c r="F1145" s="0" t="inlineStr">
        <is>
          <t>这个消息千万不能透露出去，以免走漏风声！</t>
        </is>
      </c>
    </row>
    <row r="1146">
      <c r="A1146" s="0" t="inlineStr">
        <is>
          <t>bài 25</t>
        </is>
      </c>
      <c r="B1146" s="0" t="inlineStr">
        <is>
          <t>沉思</t>
        </is>
      </c>
      <c r="D1146" s="0" t="inlineStr">
        <is>
          <t>低头认真思考</t>
        </is>
      </c>
      <c r="F1146" s="0" t="inlineStr">
        <is>
          <t>爸爸沉思一会儿，答应了我的要求。</t>
        </is>
      </c>
    </row>
    <row r="1147">
      <c r="A1147" s="0" t="inlineStr">
        <is>
          <t>bài 25</t>
        </is>
      </c>
      <c r="B1147" s="0" t="inlineStr">
        <is>
          <t>意图</t>
        </is>
      </c>
      <c r="D1147" s="0" t="inlineStr">
        <is>
          <t>意图、想做什么的目的</t>
        </is>
      </c>
      <c r="F1147" s="0" t="inlineStr">
        <is>
          <t>赵刚这样做显然另有一番意图。</t>
        </is>
      </c>
    </row>
    <row r="1148">
      <c r="A1148" s="0" t="inlineStr">
        <is>
          <t>bài 25</t>
        </is>
      </c>
      <c r="B1148" s="0" t="inlineStr">
        <is>
          <t>私自</t>
        </is>
      </c>
      <c r="D1148" s="0" t="inlineStr">
        <is>
          <t>自己私下做，没有经过允许</t>
        </is>
      </c>
      <c r="F1148" s="0" t="inlineStr">
        <is>
          <t>小孩子私自下河游泳，是很危险的。</t>
        </is>
      </c>
    </row>
    <row r="1149">
      <c r="A1149" s="0" t="inlineStr">
        <is>
          <t>bài 25</t>
        </is>
      </c>
      <c r="B1149" s="0" t="inlineStr">
        <is>
          <t>妥当</t>
        </is>
      </c>
      <c r="D1149" s="0" t="inlineStr">
        <is>
          <t>安排得合适、妥当</t>
        </is>
      </c>
      <c r="F1149" s="0" t="inlineStr">
        <is>
          <t>会场已经布置妥当，只等会议开始。</t>
        </is>
      </c>
    </row>
    <row r="1150">
      <c r="A1150" s="0" t="inlineStr">
        <is>
          <t>bài 25</t>
        </is>
      </c>
      <c r="B1150" s="0" t="inlineStr">
        <is>
          <t>占领</t>
        </is>
      </c>
      <c r="D1150" s="0" t="inlineStr">
        <is>
          <t>占领、攻占</t>
        </is>
      </c>
      <c r="F1150" s="0" t="inlineStr">
        <is>
          <t>我军很快占领了这个据点。</t>
        </is>
      </c>
    </row>
    <row r="1151">
      <c r="A1151" s="0" t="inlineStr">
        <is>
          <t>bài 25</t>
        </is>
      </c>
      <c r="B1151" s="0" t="inlineStr">
        <is>
          <t>封锁</t>
        </is>
      </c>
      <c r="D1151" s="0" t="inlineStr">
        <is>
          <t>封锁、堵住不让通过</t>
        </is>
      </c>
      <c r="F1151" s="0" t="inlineStr">
        <is>
          <t>敌人的几个交通要道都被我军封锁了。</t>
        </is>
      </c>
    </row>
    <row r="1152">
      <c r="A1152" s="0" t="inlineStr">
        <is>
          <t>bài 25</t>
        </is>
      </c>
      <c r="B1152" s="0" t="inlineStr">
        <is>
          <t>驻扎</t>
        </is>
      </c>
      <c r="D1152" s="0" t="inlineStr">
        <is>
          <t>军队驻扎、停留</t>
        </is>
      </c>
      <c r="F1152" s="0" t="inlineStr">
        <is>
          <t>我军已经在这里驻扎了两个多月了。</t>
        </is>
      </c>
    </row>
    <row r="1153">
      <c r="A1153" s="0" t="inlineStr">
        <is>
          <t>bài 25</t>
        </is>
      </c>
      <c r="B1153" s="0" t="inlineStr">
        <is>
          <t>指定</t>
        </is>
      </c>
      <c r="D1153" s="0" t="inlineStr">
        <is>
          <t>指定、特别指出</t>
        </is>
      </c>
      <c r="F1153" s="0" t="inlineStr">
        <is>
          <t>客户已经把钱汇入你指定的银行账户了。</t>
        </is>
      </c>
    </row>
    <row r="1154">
      <c r="A1154" s="0" t="inlineStr">
        <is>
          <t>bài 25</t>
        </is>
      </c>
      <c r="B1154" s="0" t="inlineStr">
        <is>
          <t>舱</t>
        </is>
      </c>
      <c r="D1154" s="0" t="inlineStr">
        <is>
          <t>船舱、机舱</t>
        </is>
      </c>
      <c r="F1154" s="0" t="inlineStr">
        <is>
          <t>请跟我来，您的座位在客舱中部。</t>
        </is>
      </c>
    </row>
    <row r="1155">
      <c r="A1155" s="0" t="inlineStr">
        <is>
          <t>bài 25</t>
        </is>
      </c>
      <c r="B1155" s="0" t="inlineStr">
        <is>
          <t>嘱咐</t>
        </is>
      </c>
      <c r="D1155" s="0" t="inlineStr">
        <is>
          <t>叮嘱、嘱咐</t>
        </is>
      </c>
      <c r="F1155" s="0" t="inlineStr">
        <is>
          <t>医生嘱咐爸爸要多注意休息。</t>
        </is>
      </c>
    </row>
    <row r="1156">
      <c r="A1156" s="0" t="inlineStr">
        <is>
          <t>bài 25</t>
        </is>
      </c>
      <c r="B1156" s="0" t="inlineStr">
        <is>
          <t>方位</t>
        </is>
      </c>
      <c r="D1156" s="0" t="inlineStr">
        <is>
          <t>方向、位置</t>
        </is>
      </c>
      <c r="F1156" s="0" t="inlineStr">
        <is>
          <t>野外工作时，需要靠指南针来确定方位。</t>
        </is>
      </c>
    </row>
    <row r="1157">
      <c r="A1157" s="0" t="inlineStr">
        <is>
          <t>bài 25</t>
        </is>
      </c>
      <c r="B1157" s="0" t="inlineStr">
        <is>
          <t>凌晨</t>
        </is>
      </c>
      <c r="D1157" s="0" t="inlineStr">
        <is>
          <t>凌晨，天快亮的时候</t>
        </is>
      </c>
      <c r="F1157" s="0" t="inlineStr">
        <is>
          <t>今天傍晚上火车，明日凌晨就能到达北京。</t>
        </is>
      </c>
    </row>
    <row r="1158">
      <c r="A1158" s="0" t="inlineStr">
        <is>
          <t>bài 25</t>
        </is>
      </c>
      <c r="B1158" s="0" t="inlineStr">
        <is>
          <t>茫茫</t>
        </is>
      </c>
      <c r="D1158" s="0" t="inlineStr">
        <is>
          <t>一片白茫茫，看不清楚</t>
        </is>
      </c>
      <c r="F1158" s="0" t="inlineStr">
        <is>
          <t>眼前白茫茫一片，分不清哪里是水，哪里是天。</t>
        </is>
      </c>
    </row>
    <row r="1159">
      <c r="A1159" s="0" t="inlineStr">
        <is>
          <t>bài 25</t>
        </is>
      </c>
      <c r="B1159" s="0" t="inlineStr">
        <is>
          <t>调动</t>
        </is>
      </c>
      <c r="D1159" s="0" t="inlineStr">
        <is>
          <t>调动、鼓动大家</t>
        </is>
      </c>
      <c r="F1159" s="0" t="inlineStr">
        <is>
          <t>王老师很善于调动同学们的积极性。</t>
        </is>
      </c>
    </row>
    <row r="1160">
      <c r="A1160" s="0" t="inlineStr">
        <is>
          <t>bài 25</t>
        </is>
      </c>
      <c r="B1160" s="0" t="inlineStr">
        <is>
          <t>一齐</t>
        </is>
      </c>
      <c r="D1160" s="0" t="inlineStr">
        <is>
          <t>一起、同时</t>
        </is>
      </c>
      <c r="F1160" s="0" t="inlineStr">
        <is>
          <t>大家一齐动手，清除路上的积雪。</t>
        </is>
      </c>
    </row>
    <row r="1161">
      <c r="A1161" s="0" t="inlineStr">
        <is>
          <t>bài 25</t>
        </is>
      </c>
      <c r="B1161" s="0" t="inlineStr">
        <is>
          <t>高涨</t>
        </is>
      </c>
      <c r="D1161" s="0" t="inlineStr">
        <is>
          <t>热情高涨</t>
        </is>
      </c>
      <c r="F1161" s="0" t="inlineStr">
        <is>
          <t>在许师傅的带动下，大家的工作热情更高涨了。</t>
        </is>
      </c>
    </row>
    <row r="1162">
      <c r="A1162" s="0" t="inlineStr">
        <is>
          <t>bài 26</t>
        </is>
      </c>
      <c r="B1162" s="0" t="inlineStr">
        <is>
          <t>捧</t>
        </is>
      </c>
      <c r="D1162" s="0" t="inlineStr">
        <is>
          <t>用双手托着东西。</t>
        </is>
      </c>
      <c r="F1162" s="0" t="inlineStr">
        <is>
          <t>站在那里捧着一束花的男人是我男朋友。</t>
        </is>
      </c>
    </row>
    <row r="1163">
      <c r="A1163" s="0" t="inlineStr">
        <is>
          <t>bài 26</t>
        </is>
      </c>
      <c r="B1163" s="0" t="inlineStr">
        <is>
          <t>天文</t>
        </is>
      </c>
      <c r="D1163" s="0" t="inlineStr">
        <is>
          <t>研究星星、宇宙等的科学知识。</t>
        </is>
      </c>
      <c r="F1163" s="0" t="inlineStr">
        <is>
          <t>这个问题涉及了很多天文知识。</t>
        </is>
      </c>
    </row>
    <row r="1164">
      <c r="A1164" s="0" t="inlineStr">
        <is>
          <t>bài 26</t>
        </is>
      </c>
      <c r="B1164" s="0" t="inlineStr">
        <is>
          <t>儒家</t>
        </is>
      </c>
      <c r="D1164" s="0" t="inlineStr">
        <is>
          <t>以孔子、孟子为代表的古代思想学派。</t>
        </is>
      </c>
      <c r="F1164" s="0" t="inlineStr">
        <is>
          <t>孔子与孟子齐名，同为我国儒家的代表人物。</t>
        </is>
      </c>
    </row>
    <row r="1165">
      <c r="A1165" s="0" t="inlineStr">
        <is>
          <t>bài 26</t>
        </is>
      </c>
      <c r="B1165" s="0" t="inlineStr">
        <is>
          <t>传记</t>
        </is>
      </c>
      <c r="D1165" s="0" t="inlineStr">
        <is>
          <t>记录人物生平事迹的书籍。</t>
        </is>
      </c>
      <c r="F1165" s="0" t="inlineStr">
        <is>
          <t>小时候妈妈经常给我买一些名人传记让我去看。</t>
        </is>
      </c>
    </row>
    <row r="1166">
      <c r="A1166" s="0" t="inlineStr">
        <is>
          <t>bài 26</t>
        </is>
      </c>
      <c r="B1166" s="0" t="inlineStr">
        <is>
          <t>散文</t>
        </is>
      </c>
      <c r="D1166" s="0" t="inlineStr">
        <is>
          <t>一种文学体裁，形式自由，内容广泛。</t>
        </is>
      </c>
      <c r="F1166" s="0" t="inlineStr">
        <is>
          <t>这篇散文生动形象地描述了大海涨潮时的情景。</t>
        </is>
      </c>
    </row>
    <row r="1167">
      <c r="A1167" s="0" t="inlineStr">
        <is>
          <t>bài 26</t>
        </is>
      </c>
      <c r="B1167" s="0" t="inlineStr">
        <is>
          <t>历代</t>
        </is>
      </c>
      <c r="D1167" s="0" t="inlineStr">
        <is>
          <t>各个朝代、各个时代。</t>
        </is>
      </c>
      <c r="F1167" s="0" t="inlineStr">
        <is>
          <t>孔子被历代帝王推崇为圣人。</t>
        </is>
      </c>
    </row>
    <row r="1168">
      <c r="A1168" s="0" t="inlineStr">
        <is>
          <t>bài 26</t>
        </is>
      </c>
      <c r="B1168" s="0" t="inlineStr">
        <is>
          <t>着迷</t>
        </is>
      </c>
      <c r="D1168" s="0" t="inlineStr">
        <is>
          <t>对某事物非常感兴趣，难以自拔。</t>
        </is>
      </c>
      <c r="F1168" s="0" t="inlineStr">
        <is>
          <t>她被那位歌手的嗓音着迷，听了一遍又一遍。</t>
        </is>
      </c>
    </row>
    <row r="1169">
      <c r="A1169" s="0" t="inlineStr">
        <is>
          <t>bài 26</t>
        </is>
      </c>
      <c r="B1169" s="0" t="inlineStr">
        <is>
          <t>熏陶</t>
        </is>
      </c>
      <c r="D1169" s="0" t="inlineStr">
        <is>
          <t>长期影响和教育，使人形成好的品格或爱好。</t>
        </is>
      </c>
      <c r="F1169" s="0" t="inlineStr">
        <is>
          <t>由于家庭的熏陶，他从小就喜欢音乐。</t>
        </is>
      </c>
    </row>
    <row r="1170">
      <c r="A1170" s="0" t="inlineStr">
        <is>
          <t>bài 26</t>
        </is>
      </c>
      <c r="B1170" s="0" t="inlineStr">
        <is>
          <t>胸怀</t>
        </is>
      </c>
      <c r="D1170" s="0" t="inlineStr">
        <is>
          <t>人的内心世界和气量。</t>
        </is>
      </c>
      <c r="F1170" s="0" t="inlineStr">
        <is>
          <t>我们应敞开胸怀，勇敢地接受新事物。</t>
        </is>
      </c>
    </row>
    <row r="1171">
      <c r="A1171" s="0" t="inlineStr">
        <is>
          <t>bài 26</t>
        </is>
      </c>
      <c r="B1171" s="0" t="inlineStr">
        <is>
          <t>不堪</t>
        </is>
      </c>
      <c r="D1171" s="0" t="inlineStr">
        <is>
          <t>承受不了，不能忍受。</t>
        </is>
      </c>
      <c r="F1171" s="0" t="inlineStr">
        <is>
          <t>这座桥年久失修，已经不堪重负。</t>
        </is>
      </c>
    </row>
    <row r="1172">
      <c r="A1172" s="0" t="inlineStr">
        <is>
          <t>bài 26</t>
        </is>
      </c>
      <c r="B1172" s="0" t="inlineStr">
        <is>
          <t>炎热</t>
        </is>
      </c>
      <c r="D1172" s="0" t="inlineStr">
        <is>
          <t>天气非常热。</t>
        </is>
      </c>
      <c r="F1172" s="0" t="inlineStr">
        <is>
          <t>今年夏天的天气异常炎热。</t>
        </is>
      </c>
    </row>
    <row r="1173">
      <c r="A1173" s="0" t="inlineStr">
        <is>
          <t>bài 26</t>
        </is>
      </c>
      <c r="B1173" s="0" t="inlineStr">
        <is>
          <t>骚扰</t>
        </is>
      </c>
      <c r="D1173" s="0" t="inlineStr">
        <is>
          <t>打扰别人，使人不安。</t>
        </is>
      </c>
      <c r="F1173" s="0" t="inlineStr">
        <is>
          <t>劝你们不要进屋里骚扰她老人家。</t>
        </is>
      </c>
    </row>
    <row r="1174">
      <c r="A1174" s="0" t="inlineStr">
        <is>
          <t>bài 26</t>
        </is>
      </c>
      <c r="B1174" s="0" t="inlineStr">
        <is>
          <t>贫乏</t>
        </is>
      </c>
      <c r="D1174" s="0" t="inlineStr">
        <is>
          <t>知识、经验等非常少。</t>
        </is>
      </c>
      <c r="F1174" s="0" t="inlineStr">
        <is>
          <t>他在实际工作中越来越感觉到知识的贫乏。</t>
        </is>
      </c>
    </row>
    <row r="1175">
      <c r="A1175" s="0" t="inlineStr">
        <is>
          <t>bài 26</t>
        </is>
      </c>
      <c r="B1175" s="0" t="inlineStr">
        <is>
          <t>艰难</t>
        </is>
      </c>
      <c r="D1175" s="0" t="inlineStr">
        <is>
          <t>生活困难，不容易。</t>
        </is>
      </c>
      <c r="F1175" s="0" t="inlineStr">
        <is>
          <t>现在，边远地区人民的生活还是非常艰难。</t>
        </is>
      </c>
    </row>
    <row r="1176">
      <c r="A1176" s="0" t="inlineStr">
        <is>
          <t>bài 26</t>
        </is>
      </c>
      <c r="B1176" s="0" t="inlineStr">
        <is>
          <t>田野</t>
        </is>
      </c>
      <c r="D1176" s="0" t="inlineStr">
        <is>
          <t>农村的田地和原野。</t>
        </is>
      </c>
      <c r="F1176" s="0" t="inlineStr">
        <is>
          <t>我们漫步在春天的田野，心情特别舒畅。</t>
        </is>
      </c>
    </row>
    <row r="1177">
      <c r="A1177" s="0" t="inlineStr">
        <is>
          <t>bài 26</t>
        </is>
      </c>
      <c r="B1177" s="0" t="inlineStr">
        <is>
          <t>情形</t>
        </is>
      </c>
      <c r="D1177" s="0" t="inlineStr">
        <is>
          <t>事情的具体情况和样子。</t>
        </is>
      </c>
      <c r="F1177" s="0" t="inlineStr">
        <is>
          <t>他向我描绘了那次战斗的情形。</t>
        </is>
      </c>
    </row>
    <row r="1178">
      <c r="A1178" s="0" t="inlineStr">
        <is>
          <t>bài 26</t>
        </is>
      </c>
      <c r="B1178" s="0" t="inlineStr">
        <is>
          <t>耀眼</t>
        </is>
      </c>
      <c r="D1178" s="0" t="inlineStr">
        <is>
          <t>光线非常强烈，刺眼。</t>
        </is>
      </c>
      <c r="F1178" s="0" t="inlineStr">
        <is>
          <t>在阳光的照耀下，湖面反射出耀眼的光芒。</t>
        </is>
      </c>
    </row>
    <row r="1179">
      <c r="A1179" s="0" t="inlineStr">
        <is>
          <t>bài 26</t>
        </is>
      </c>
      <c r="B1179" s="0" t="inlineStr">
        <is>
          <t>光芒</t>
        </is>
      </c>
      <c r="D1179" s="0" t="inlineStr">
        <is>
          <t>发出的明亮光线。</t>
        </is>
      </c>
      <c r="F1179" s="0" t="inlineStr">
        <is>
          <t>小猫竟然从鱼缸里捞出来一条金鱼！</t>
        </is>
      </c>
    </row>
    <row r="1180">
      <c r="A1180" s="0" t="inlineStr">
        <is>
          <t>bài 26</t>
        </is>
      </c>
      <c r="B1180" s="0" t="inlineStr">
        <is>
          <t>捞</t>
        </is>
      </c>
      <c r="D1180" s="0" t="inlineStr">
        <is>
          <t>用手从水中或某处抓取东西。</t>
        </is>
      </c>
      <c r="F1180" s="0" t="inlineStr">
        <is>
          <t>闭上眼睛，摊开手掌，我要给你一个惊喜！</t>
        </is>
      </c>
    </row>
    <row r="1181">
      <c r="A1181" s="0" t="inlineStr">
        <is>
          <t>bài 26</t>
        </is>
      </c>
      <c r="B1181" s="0" t="inlineStr">
        <is>
          <t>摊</t>
        </is>
      </c>
      <c r="D1181" s="0" t="inlineStr">
        <is>
          <t>张开手掌或把东西铺开。</t>
        </is>
      </c>
      <c r="F1181" s="0" t="inlineStr">
        <is>
          <t>一厘米等于十毫米。</t>
        </is>
      </c>
    </row>
    <row r="1182">
      <c r="A1182" s="0" t="inlineStr">
        <is>
          <t>bài 26</t>
        </is>
      </c>
      <c r="B1182" s="0" t="inlineStr">
        <is>
          <t>毫米</t>
        </is>
      </c>
      <c r="D1182" s="0" t="inlineStr">
        <is>
          <t>长度单位，一厘米等于十毫米。</t>
        </is>
      </c>
      <c r="F1182" s="0" t="inlineStr">
        <is>
          <t>长久用电脑工作，很容易得颈椎病。</t>
        </is>
      </c>
    </row>
    <row r="1183">
      <c r="A1183" s="0" t="inlineStr">
        <is>
          <t>bài 26</t>
        </is>
      </c>
      <c r="B1183" s="0" t="inlineStr">
        <is>
          <t>颈椎</t>
        </is>
      </c>
      <c r="D1183" s="0" t="inlineStr">
        <is>
          <t>脖子后面的脊椎骨。</t>
        </is>
      </c>
      <c r="F1183" s="0" t="inlineStr">
        <is>
          <t>觉得颈椎不舒服时，用手揉一揉会好很多。</t>
        </is>
      </c>
    </row>
    <row r="1184">
      <c r="A1184" s="0" t="inlineStr">
        <is>
          <t>bài 26</t>
        </is>
      </c>
      <c r="B1184" s="0" t="inlineStr">
        <is>
          <t>揉</t>
        </is>
      </c>
      <c r="D1184" s="0" t="inlineStr">
        <is>
          <t>用手轻轻按摩。</t>
        </is>
      </c>
      <c r="F1184" s="0" t="inlineStr">
        <is>
          <t>你好，这边有点儿挤，麻烦往里挪挪。</t>
        </is>
      </c>
    </row>
    <row r="1185">
      <c r="A1185" s="0" t="inlineStr">
        <is>
          <t>bài 26</t>
        </is>
      </c>
      <c r="B1185" s="0" t="inlineStr">
        <is>
          <t>挪</t>
        </is>
      </c>
      <c r="D1185" s="0" t="inlineStr">
        <is>
          <t>移动位置，稍微挪动。</t>
        </is>
      </c>
      <c r="F1185" s="0" t="inlineStr">
        <is>
          <t>这一跤摔得我屁股疼。</t>
        </is>
      </c>
    </row>
    <row r="1186">
      <c r="A1186" s="0" t="inlineStr">
        <is>
          <t>bài 26</t>
        </is>
      </c>
      <c r="B1186" s="0" t="inlineStr">
        <is>
          <t>屁股</t>
        </is>
      </c>
      <c r="D1186" s="0" t="inlineStr">
        <is>
          <t>人体臀部。</t>
        </is>
      </c>
      <c r="F1186" s="0" t="inlineStr">
        <is>
          <t>那次生病之后，他的左手就失去了知觉。</t>
        </is>
      </c>
    </row>
    <row r="1187">
      <c r="A1187" s="0" t="inlineStr">
        <is>
          <t>bài 26</t>
        </is>
      </c>
      <c r="B1187" s="0" t="inlineStr">
        <is>
          <t>知觉</t>
        </is>
      </c>
      <c r="D1187" s="0" t="inlineStr">
        <is>
          <t>感觉能力，对外界刺激的感知。</t>
        </is>
      </c>
      <c r="F1187" s="0" t="inlineStr">
        <is>
          <t>现在生活好了，不再有那么多人挨冻受饿了。</t>
        </is>
      </c>
    </row>
    <row r="1188">
      <c r="A1188" s="0" t="inlineStr">
        <is>
          <t>bài 26</t>
        </is>
      </c>
      <c r="B1188" s="0" t="inlineStr">
        <is>
          <t>挨</t>
        </is>
      </c>
      <c r="D1188" s="0" t="inlineStr">
        <is>
          <t>遭受、忍受（多指不好的事情）。</t>
        </is>
      </c>
      <c r="F1188" s="0" t="inlineStr">
        <is>
          <t>我拥有一个幸福美满的家庭。</t>
        </is>
      </c>
    </row>
    <row r="1189">
      <c r="A1189" s="0" t="inlineStr">
        <is>
          <t>bài 26</t>
        </is>
      </c>
      <c r="B1189" s="0" t="inlineStr">
        <is>
          <t>美满</t>
        </is>
      </c>
      <c r="D1189" s="0" t="inlineStr">
        <is>
          <t>幸福圆满。</t>
        </is>
      </c>
      <c r="F1189" s="0" t="inlineStr">
        <is>
          <t>上有天堂，下有苏杭。</t>
        </is>
      </c>
    </row>
    <row r="1190">
      <c r="A1190" s="0" t="inlineStr">
        <is>
          <t>bài 26</t>
        </is>
      </c>
      <c r="B1190" s="0" t="inlineStr">
        <is>
          <t>天堂</t>
        </is>
      </c>
      <c r="D1190" s="0" t="inlineStr">
        <is>
          <t>非常美好的地方，比喻理想境界。</t>
        </is>
      </c>
      <c r="F1190" s="0" t="inlineStr">
        <is>
          <t>他有些泄气。</t>
        </is>
      </c>
    </row>
    <row r="1191">
      <c r="A1191" s="0" t="inlineStr">
        <is>
          <t>bài 26</t>
        </is>
      </c>
      <c r="B1191" s="0" t="inlineStr">
        <is>
          <t>熄灭</t>
        </is>
      </c>
      <c r="C1191" s="0" t="inlineStr">
        <is>
          <t>xīmiè</t>
        </is>
      </c>
      <c r="D1191" s="0" t="inlineStr">
        <is>
          <t>灯或火灭掉</t>
        </is>
      </c>
      <c r="F1191" s="0" t="inlineStr">
        <is>
          <t>在大家的共同努力下，大火渐渐地熄灭了。</t>
        </is>
      </c>
    </row>
    <row r="1192">
      <c r="A1192" s="0" t="inlineStr">
        <is>
          <t>bài 26</t>
        </is>
      </c>
      <c r="B1192" s="0" t="inlineStr">
        <is>
          <t>泄气</t>
        </is>
      </c>
      <c r="D1192" s="0" t="inlineStr">
        <is>
          <t>失去信心，感到失望。</t>
        </is>
      </c>
      <c r="F1192" s="0" t="inlineStr">
        <is>
          <t>他眯着眼睛看了半天，终于看清楚了！</t>
        </is>
      </c>
    </row>
    <row r="1193">
      <c r="A1193" s="0" t="inlineStr">
        <is>
          <t>bài 26</t>
        </is>
      </c>
      <c r="B1193" s="0" t="inlineStr">
        <is>
          <t>眯</t>
        </is>
      </c>
      <c r="D1193" s="0" t="inlineStr">
        <is>
          <t>闭上眼睛看不清楚。</t>
        </is>
      </c>
      <c r="F1193" s="0" t="inlineStr">
        <is>
          <t>一个绝望的人将不择手段得到他所要的东西。</t>
        </is>
      </c>
    </row>
    <row r="1194">
      <c r="A1194" s="0" t="inlineStr">
        <is>
          <t>bài 26</t>
        </is>
      </c>
      <c r="B1194" s="0" t="inlineStr">
        <is>
          <t>绝望</t>
        </is>
      </c>
      <c r="D1194" s="0" t="inlineStr">
        <is>
          <t>感到没有希望，非常失望。</t>
        </is>
      </c>
      <c r="F1194" s="0" t="inlineStr">
        <is>
          <t>屋子里的空气像是凝固了。</t>
        </is>
      </c>
    </row>
    <row r="1195">
      <c r="A1195" s="0" t="inlineStr">
        <is>
          <t>bài 26</t>
        </is>
      </c>
      <c r="B1195" s="0" t="inlineStr">
        <is>
          <t>凝固</t>
        </is>
      </c>
      <c r="D1195" s="0" t="inlineStr">
        <is>
          <t>液体变成固体或气氛变得紧张。</t>
        </is>
      </c>
      <c r="F1195" s="0" t="inlineStr">
        <is>
          <t>文物古迹是祖先留给我们的宝贵财富。</t>
        </is>
      </c>
    </row>
    <row r="1196">
      <c r="A1196" s="0" t="inlineStr">
        <is>
          <t>bài 26</t>
        </is>
      </c>
      <c r="B1196" s="0" t="inlineStr">
        <is>
          <t>财富</t>
        </is>
      </c>
      <c r="D1196" s="0" t="inlineStr">
        <is>
          <t>有价值的财产或精神财富。</t>
        </is>
      </c>
      <c r="F1196" s="0" t="inlineStr">
        <is>
          <t>由于风大，火势很快蔓延开来。</t>
        </is>
      </c>
    </row>
    <row r="1197">
      <c r="A1197" s="0" t="inlineStr">
        <is>
          <t>bài 26</t>
        </is>
      </c>
      <c r="B1197" s="0" t="inlineStr">
        <is>
          <t>蔓延</t>
        </is>
      </c>
      <c r="D1197" s="0" t="inlineStr">
        <is>
          <t>向四周扩散、扩展。</t>
        </is>
      </c>
      <c r="F1197" s="0" t="inlineStr">
        <is>
          <t>她努力克制着自己，不让泪水流出来。</t>
        </is>
      </c>
    </row>
    <row r="1198">
      <c r="A1198" s="0" t="inlineStr">
        <is>
          <t>bài 26</t>
        </is>
      </c>
      <c r="B1198" s="0" t="inlineStr">
        <is>
          <t>克制</t>
        </is>
      </c>
      <c r="D1198" s="0" t="inlineStr">
        <is>
          <t>控制自己的情绪或行为。</t>
        </is>
      </c>
      <c r="F1198" s="0" t="inlineStr">
        <is>
          <t>他默默地为群众做了许多好事。</t>
        </is>
      </c>
    </row>
    <row r="1199">
      <c r="A1199" s="0" t="inlineStr">
        <is>
          <t>bài 26</t>
        </is>
      </c>
      <c r="B1199" s="0" t="inlineStr">
        <is>
          <t>默默</t>
        </is>
      </c>
      <c r="D1199" s="0" t="inlineStr">
        <is>
          <t>不说话，安静地做某事。</t>
        </is>
      </c>
      <c r="F1199" s="0" t="inlineStr">
        <is>
          <t>三岁的小表妹能背诵出十几首唐诗。</t>
        </is>
      </c>
    </row>
    <row r="1200">
      <c r="A1200" s="0" t="inlineStr">
        <is>
          <t>bài 26</t>
        </is>
      </c>
      <c r="B1200" s="0" t="inlineStr">
        <is>
          <t>背诵</t>
        </is>
      </c>
      <c r="D1200" s="0" t="inlineStr">
        <is>
          <t>凭记忆把文字念出来。</t>
        </is>
      </c>
      <c r="F1200" s="0" t="inlineStr">
        <is>
          <t>她编织的篮子很精巧。</t>
        </is>
      </c>
    </row>
    <row r="1201">
      <c r="A1201" s="0" t="inlineStr">
        <is>
          <t>bài 26</t>
        </is>
      </c>
      <c r="B1201" s="0" t="inlineStr">
        <is>
          <t>编织</t>
        </is>
      </c>
      <c r="D1201" s="0" t="inlineStr">
        <is>
          <t>用线或材料编成东西。</t>
        </is>
      </c>
      <c r="F1201" s="0" t="inlineStr">
        <is>
          <t>强制拆除房屋应由法院执行。</t>
        </is>
      </c>
    </row>
    <row r="1202">
      <c r="A1202" s="0" t="inlineStr">
        <is>
          <t>bài 26</t>
        </is>
      </c>
      <c r="B1202" s="0" t="inlineStr">
        <is>
          <t>强制</t>
        </is>
      </c>
      <c r="D1202" s="0" t="inlineStr">
        <is>
          <t>用强力迫使别人做某事。</t>
        </is>
      </c>
      <c r="F1202" s="0" t="inlineStr">
        <is>
          <t>石头相撞迸发出火花。</t>
        </is>
      </c>
    </row>
    <row r="1203">
      <c r="A1203" s="0" t="inlineStr">
        <is>
          <t>bài 26</t>
        </is>
      </c>
      <c r="B1203" s="0" t="inlineStr">
        <is>
          <t>迸发</t>
        </is>
      </c>
      <c r="D1203" s="0" t="inlineStr">
        <is>
          <t>突然发出、爆发出来。</t>
        </is>
      </c>
      <c r="F1203" s="0" t="inlineStr">
        <is>
          <t>他找了一个布兜，抓了一些萤火虫放在里面。</t>
        </is>
      </c>
    </row>
    <row r="1204">
      <c r="A1204" s="0" t="inlineStr">
        <is>
          <t>bài 26</t>
        </is>
      </c>
      <c r="B1204" s="0" t="inlineStr">
        <is>
          <t>兜</t>
        </is>
      </c>
      <c r="D1204" s="0" t="inlineStr">
        <is>
          <t>装东西的小袋子。</t>
        </is>
      </c>
      <c r="F1204" s="0" t="inlineStr">
        <is>
          <t>正月十五，家家户户挂灯笼。</t>
        </is>
      </c>
    </row>
    <row r="1205">
      <c r="A1205" s="0" t="inlineStr">
        <is>
          <t>bài 26</t>
        </is>
      </c>
      <c r="B1205" s="0" t="inlineStr">
        <is>
          <t>灯笼</t>
        </is>
      </c>
      <c r="D1205" s="0" t="inlineStr">
        <is>
          <t>节日悬挂的照明装饰品。</t>
        </is>
      </c>
      <c r="F1205" s="0" t="inlineStr">
        <is>
          <t>他从小就显现出非凡的绘画天赋。</t>
        </is>
      </c>
    </row>
    <row r="1206">
      <c r="A1206" s="0" t="inlineStr">
        <is>
          <t>bài 26</t>
        </is>
      </c>
      <c r="B1206" s="0" t="inlineStr">
        <is>
          <t>天赋</t>
        </is>
      </c>
      <c r="D1206" s="0" t="inlineStr">
        <is>
          <t>与生俱来的才能。</t>
        </is>
      </c>
      <c r="F1206" s="0" t="inlineStr">
        <is>
          <t>国家下大力改善贫困地区的办学条件。</t>
        </is>
      </c>
    </row>
    <row r="1207">
      <c r="A1207" s="0" t="inlineStr">
        <is>
          <t>bài 26</t>
        </is>
      </c>
      <c r="B1207" s="0" t="inlineStr">
        <is>
          <t>贫困</t>
        </is>
      </c>
      <c r="D1207" s="0" t="inlineStr">
        <is>
          <t>生活穷困，缺少钱财。</t>
        </is>
      </c>
      <c r="F1207" s="0" t="inlineStr">
        <is>
          <t>他创作的源泉来自于对生活的热爱。</t>
        </is>
      </c>
    </row>
    <row r="1208">
      <c r="A1208" s="0" t="inlineStr">
        <is>
          <t>bài 26</t>
        </is>
      </c>
      <c r="B1208" s="0" t="inlineStr">
        <is>
          <t>源泉</t>
        </is>
      </c>
      <c r="D1208" s="0" t="inlineStr">
        <is>
          <t>事物产生的根源和动力。</t>
        </is>
      </c>
    </row>
    <row r="1209">
      <c r="A1209" s="0" t="inlineStr">
        <is>
          <t>bài 27</t>
        </is>
      </c>
      <c r="B1209" s="0" t="inlineStr">
        <is>
          <t>爱不释手</t>
        </is>
      </c>
      <c r="D1209" s="0" t="inlineStr">
        <is>
          <t>非常喜欢，拿着不想放下。</t>
        </is>
      </c>
      <c r="F1209" s="0" t="inlineStr">
        <is>
          <t>我很喜欢这本书，爱不释手。</t>
        </is>
      </c>
    </row>
    <row r="1210">
      <c r="A1210" s="0" t="inlineStr">
        <is>
          <t>bài 27</t>
        </is>
      </c>
      <c r="B1210" s="0" t="inlineStr">
        <is>
          <t>圈套</t>
        </is>
      </c>
      <c r="D1210" s="0" t="inlineStr">
        <is>
          <t>别人故意设计让你上当的办法。</t>
        </is>
      </c>
      <c r="F1210" s="0" t="inlineStr">
        <is>
          <t>他掉进了骗子的圈套。</t>
        </is>
      </c>
    </row>
    <row r="1211">
      <c r="A1211" s="0" t="inlineStr">
        <is>
          <t>bài 27</t>
        </is>
      </c>
      <c r="B1211" s="0" t="inlineStr">
        <is>
          <t>归还</t>
        </is>
      </c>
      <c r="D1211" s="0" t="inlineStr">
        <is>
          <t>把借来的东西还给别人。</t>
        </is>
      </c>
      <c r="F1211" s="0" t="inlineStr">
        <is>
          <t>我明天会把书归还给你。</t>
        </is>
      </c>
    </row>
    <row r="1212">
      <c r="A1212" s="0" t="inlineStr">
        <is>
          <t>bài 27</t>
        </is>
      </c>
      <c r="B1212" s="0" t="inlineStr">
        <is>
          <t>从容</t>
        </is>
      </c>
      <c r="D1212" s="0" t="inlineStr">
        <is>
          <t>遇到事情不着急，很冷静。</t>
        </is>
      </c>
      <c r="F1212" s="0" t="inlineStr">
        <is>
          <t>考试的时候，她一直很从容。</t>
        </is>
      </c>
    </row>
    <row r="1213">
      <c r="A1213" s="0" t="inlineStr">
        <is>
          <t>bài 27</t>
        </is>
      </c>
      <c r="B1213" s="0" t="inlineStr">
        <is>
          <t>中央</t>
        </is>
      </c>
      <c r="D1213" s="0" t="inlineStr">
        <is>
          <t>中间的位置。</t>
        </is>
      </c>
      <c r="F1213" s="0" t="inlineStr">
        <is>
          <t>老师站在教室中央讲话。</t>
        </is>
      </c>
    </row>
    <row r="1214">
      <c r="A1214" s="0" t="inlineStr">
        <is>
          <t>bài 27</t>
        </is>
      </c>
      <c r="B1214" s="0" t="inlineStr">
        <is>
          <t>兑现</t>
        </is>
      </c>
      <c r="D1214" s="0" t="inlineStr">
        <is>
          <t>答应过的事情真的做到。</t>
        </is>
      </c>
      <c r="F1214" s="0" t="inlineStr">
        <is>
          <t>他终于兑现了自己的承诺。</t>
        </is>
      </c>
    </row>
    <row r="1215">
      <c r="A1215" s="0" t="inlineStr">
        <is>
          <t>bài 27</t>
        </is>
      </c>
      <c r="B1215" s="0" t="inlineStr">
        <is>
          <t>妄想</t>
        </is>
      </c>
      <c r="D1215" s="0" t="inlineStr">
        <is>
          <t>想一些不可能实现的事情。</t>
        </is>
      </c>
      <c r="F1215" s="0" t="inlineStr">
        <is>
          <t>别再妄想一夜发财了。</t>
        </is>
      </c>
    </row>
    <row r="1216">
      <c r="A1216" s="0" t="inlineStr">
        <is>
          <t>bài 27</t>
        </is>
      </c>
      <c r="B1216" s="0" t="inlineStr">
        <is>
          <t>答复</t>
        </is>
      </c>
      <c r="D1216" s="0" t="inlineStr">
        <is>
          <t>回答别人提出的问题。</t>
        </is>
      </c>
      <c r="F1216" s="0" t="inlineStr">
        <is>
          <t>老师还没有答复我的问题。</t>
        </is>
      </c>
    </row>
    <row r="1217">
      <c r="A1217" s="0" t="inlineStr">
        <is>
          <t>bài 27</t>
        </is>
      </c>
      <c r="B1217" s="0" t="inlineStr">
        <is>
          <t>得罪</t>
        </is>
      </c>
      <c r="C1217" s="0" t="inlineStr">
        <is>
          <t>dézuì</t>
        </is>
      </c>
      <c r="D1217" s="0" t="inlineStr">
        <is>
          <t>使人不高兴，冒犯了别人</t>
        </is>
      </c>
      <c r="F1217" s="0" t="inlineStr">
        <is>
          <t>你为多数人谋利益，就有可能得罪少数人。</t>
        </is>
      </c>
    </row>
    <row r="1218">
      <c r="A1218" s="0" t="inlineStr">
        <is>
          <t>bài 27</t>
        </is>
      </c>
      <c r="B1218" s="0" t="inlineStr">
        <is>
          <t>大臣</t>
        </is>
      </c>
      <c r="D1218" s="0" t="inlineStr">
        <is>
          <t>帮助国王管理国家的人。</t>
        </is>
      </c>
      <c r="F1218" s="0" t="inlineStr">
        <is>
          <t>大臣们一起商量对策。</t>
        </is>
      </c>
    </row>
    <row r="1219">
      <c r="A1219" s="0" t="inlineStr">
        <is>
          <t>bài 27</t>
        </is>
      </c>
      <c r="B1219" s="0" t="inlineStr">
        <is>
          <t>对策</t>
        </is>
      </c>
      <c r="D1219" s="0" t="inlineStr">
        <is>
          <t>解决问题的方法。</t>
        </is>
      </c>
      <c r="F1219" s="0" t="inlineStr">
        <is>
          <t>我们已经想好了对策。</t>
        </is>
      </c>
    </row>
    <row r="1220">
      <c r="A1220" s="0" t="inlineStr">
        <is>
          <t>bài 27</t>
        </is>
      </c>
      <c r="B1220" s="0" t="inlineStr">
        <is>
          <t>提议</t>
        </is>
      </c>
      <c r="D1220" s="0" t="inlineStr">
        <is>
          <t>把自己的想法告诉大家，希望大家同意。</t>
        </is>
      </c>
      <c r="F1220" s="0" t="inlineStr">
        <is>
          <t>我提议周末一起去爬山。</t>
        </is>
      </c>
    </row>
    <row r="1221">
      <c r="A1221" s="0" t="inlineStr">
        <is>
          <t>bài 27</t>
        </is>
      </c>
      <c r="B1221" s="0" t="inlineStr">
        <is>
          <t>请教</t>
        </is>
      </c>
      <c r="D1221" s="0" t="inlineStr">
        <is>
          <t>向别人学习，请别人帮助自己。</t>
        </is>
      </c>
      <c r="F1221" s="0" t="inlineStr">
        <is>
          <t>有问题可以请教老师。</t>
        </is>
      </c>
    </row>
    <row r="1222">
      <c r="A1222" s="0" t="inlineStr">
        <is>
          <t>bài 27</t>
        </is>
      </c>
      <c r="B1222" s="0" t="inlineStr">
        <is>
          <t>实力</t>
        </is>
      </c>
      <c r="D1222" s="0" t="inlineStr">
        <is>
          <t>做事情的能力和力量。</t>
        </is>
      </c>
      <c r="F1222" s="0" t="inlineStr">
        <is>
          <t>他的工作实力很强。</t>
        </is>
      </c>
    </row>
    <row r="1223">
      <c r="A1223" s="0" t="inlineStr">
        <is>
          <t>bài 27</t>
        </is>
      </c>
      <c r="B1223" s="0" t="inlineStr">
        <is>
          <t>慷慨</t>
        </is>
      </c>
      <c r="D1223" s="0" t="inlineStr">
        <is>
          <t>愿意帮助别人，不小气。</t>
        </is>
      </c>
      <c r="F1223" s="0" t="inlineStr">
        <is>
          <t>爷爷对别人一直很慷慨。</t>
        </is>
      </c>
    </row>
    <row r="1224">
      <c r="A1224" s="0" t="inlineStr">
        <is>
          <t>bài 27</t>
        </is>
      </c>
      <c r="B1224" s="0" t="inlineStr">
        <is>
          <t>亏待</t>
        </is>
      </c>
      <c r="D1224" s="0" t="inlineStr">
        <is>
          <t>让别人吃亏，对别人不好。</t>
        </is>
      </c>
      <c r="F1224" s="0" t="inlineStr">
        <is>
          <t>父母从来没有亏待过我。</t>
        </is>
      </c>
    </row>
    <row r="1225">
      <c r="A1225" s="0" t="inlineStr">
        <is>
          <t>bài 27</t>
        </is>
      </c>
      <c r="B1225" s="0" t="inlineStr">
        <is>
          <t>动身</t>
        </is>
      </c>
      <c r="D1225" s="0" t="inlineStr">
        <is>
          <t>开始出发去别的地方。</t>
        </is>
      </c>
      <c r="F1225" s="0" t="inlineStr">
        <is>
          <t>我们明天早上八点动身。</t>
        </is>
      </c>
    </row>
    <row r="1226">
      <c r="A1226" s="0" t="inlineStr">
        <is>
          <t>bài 27</t>
        </is>
      </c>
      <c r="B1226" s="0" t="inlineStr">
        <is>
          <t>磋商</t>
        </is>
      </c>
      <c r="D1226" s="0" t="inlineStr">
        <is>
          <t>为了一个问题一起讨论。</t>
        </is>
      </c>
      <c r="F1226" s="0" t="inlineStr">
        <is>
          <t>双方还在磋商合作计划。</t>
        </is>
      </c>
    </row>
    <row r="1227">
      <c r="A1227" s="0" t="inlineStr">
        <is>
          <t>bài 27</t>
        </is>
      </c>
      <c r="B1227" s="0" t="inlineStr">
        <is>
          <t>荣幸</t>
        </is>
      </c>
      <c r="D1227" s="0" t="inlineStr">
        <is>
          <t>觉得很高兴、很光荣。</t>
        </is>
      </c>
      <c r="F1227" s="0" t="inlineStr">
        <is>
          <t>认识大家，我感到很荣幸。</t>
        </is>
      </c>
    </row>
    <row r="1228">
      <c r="A1228" s="0" t="inlineStr">
        <is>
          <t>bài 27</t>
        </is>
      </c>
      <c r="B1228" s="0" t="inlineStr">
        <is>
          <t>转达</t>
        </is>
      </c>
      <c r="D1228" s="0" t="inlineStr">
        <is>
          <t>把别人的话告诉另外一个人。</t>
        </is>
      </c>
      <c r="F1228" s="0" t="inlineStr">
        <is>
          <t>请你帮我转达一声谢谢。</t>
        </is>
      </c>
    </row>
    <row r="1229">
      <c r="A1229" s="0" t="inlineStr">
        <is>
          <t>bài 27</t>
        </is>
      </c>
      <c r="B1229" s="0" t="inlineStr">
        <is>
          <t>发誓</t>
        </is>
      </c>
      <c r="D1229" s="0" t="inlineStr">
        <is>
          <t>非常认真地保证自己一定会做某件事。</t>
        </is>
      </c>
      <c r="F1229" s="0" t="inlineStr">
        <is>
          <t>他发誓以后再也不迟到了。</t>
        </is>
      </c>
    </row>
    <row r="1230">
      <c r="A1230" s="0" t="inlineStr">
        <is>
          <t>bài 27</t>
        </is>
      </c>
      <c r="B1230" s="0" t="inlineStr">
        <is>
          <t>镇静</t>
        </is>
      </c>
      <c r="D1230" s="0" t="inlineStr">
        <is>
          <t>遇到事情不慌张，很冷静。</t>
        </is>
      </c>
      <c r="F1230" s="0" t="inlineStr">
        <is>
          <t>遇到危险时，她很镇静。</t>
        </is>
      </c>
    </row>
    <row r="1231">
      <c r="A1231" s="0" t="inlineStr">
        <is>
          <t>bài 27</t>
        </is>
      </c>
      <c r="B1231" s="0" t="inlineStr">
        <is>
          <t>雄厚</t>
        </is>
      </c>
      <c r="D1231" s="0" t="inlineStr">
        <is>
          <t>钱很多，力量很强。</t>
        </is>
      </c>
      <c r="F1231" s="0" t="inlineStr">
        <is>
          <t>这家公司实力非常雄厚。</t>
        </is>
      </c>
    </row>
    <row r="1232">
      <c r="A1232" s="0" t="inlineStr">
        <is>
          <t>bài 27</t>
        </is>
      </c>
      <c r="B1232" s="0" t="inlineStr">
        <is>
          <t>一贯</t>
        </is>
      </c>
      <c r="D1232" s="0" t="inlineStr">
        <is>
          <t>从以前到现在都是这样，没有改变。</t>
        </is>
      </c>
      <c r="F1232" s="0" t="inlineStr">
        <is>
          <t>他一贯认真负责。</t>
        </is>
      </c>
    </row>
    <row r="1233">
      <c r="A1233" s="0" t="inlineStr">
        <is>
          <t>bài 27</t>
        </is>
      </c>
      <c r="B1233" s="0" t="inlineStr">
        <is>
          <t>霸道</t>
        </is>
      </c>
      <c r="D1233" s="0" t="inlineStr">
        <is>
          <t>总是欺负别人，只按自己的意思做事。</t>
        </is>
      </c>
      <c r="F1233" s="0" t="inlineStr">
        <is>
          <t>那个孩子太霸道了。</t>
        </is>
      </c>
    </row>
    <row r="1234">
      <c r="A1234" s="0" t="inlineStr">
        <is>
          <t>bài 27</t>
        </is>
      </c>
      <c r="B1234" s="0" t="inlineStr">
        <is>
          <t>声誉</t>
        </is>
      </c>
      <c r="D1234" s="0" t="inlineStr">
        <is>
          <t>大家对一个人或单位的评价。</t>
        </is>
      </c>
      <c r="F1234" s="0" t="inlineStr">
        <is>
          <t>这家医院的声誉很好。</t>
        </is>
      </c>
    </row>
    <row r="1235">
      <c r="A1235" s="0" t="inlineStr">
        <is>
          <t>bài 27</t>
        </is>
      </c>
      <c r="B1235" s="0" t="inlineStr">
        <is>
          <t>列举</t>
        </is>
      </c>
      <c r="D1235" s="0" t="inlineStr">
        <is>
          <t>一个一个地说出来。</t>
        </is>
      </c>
      <c r="F1235" s="0" t="inlineStr">
        <is>
          <t>老师列举了很多例子。</t>
        </is>
      </c>
    </row>
    <row r="1236">
      <c r="A1236" s="0" t="inlineStr">
        <is>
          <t>bài 27</t>
        </is>
      </c>
      <c r="B1236" s="0" t="inlineStr">
        <is>
          <t>履行</t>
        </is>
      </c>
      <c r="D1236" s="0" t="inlineStr">
        <is>
          <t>按照约定或要求去做。</t>
        </is>
      </c>
      <c r="F1236" s="0" t="inlineStr">
        <is>
          <t>我们应该履行自己的责任。</t>
        </is>
      </c>
    </row>
    <row r="1237">
      <c r="A1237" s="0" t="inlineStr">
        <is>
          <t>bài 27</t>
        </is>
      </c>
      <c r="B1237" s="0" t="inlineStr">
        <is>
          <t>无理取闹</t>
        </is>
      </c>
      <c r="D1237" s="0" t="inlineStr">
        <is>
          <t>没有道理地吵闹、找麻烦。</t>
        </is>
      </c>
      <c r="F1237" s="0" t="inlineStr">
        <is>
          <t>他总是无理取闹。</t>
        </is>
      </c>
    </row>
    <row r="1238">
      <c r="A1238" s="0" t="inlineStr">
        <is>
          <t>bài 27</t>
        </is>
      </c>
      <c r="B1238" s="0" t="inlineStr">
        <is>
          <t>冒犯</t>
        </is>
      </c>
      <c r="D1238" s="0" t="inlineStr">
        <is>
          <t>说话或做事让别人不高兴。</t>
        </is>
      </c>
      <c r="F1238" s="0" t="inlineStr">
        <is>
          <t>对不起，我不是故意冒犯你的。</t>
        </is>
      </c>
    </row>
    <row r="1239">
      <c r="A1239" s="0" t="inlineStr">
        <is>
          <t>bài 27</t>
        </is>
      </c>
      <c r="B1239" s="0" t="inlineStr">
        <is>
          <t>隆重</t>
        </is>
      </c>
      <c r="D1239" s="0" t="inlineStr">
        <is>
          <t>非常正式、非常重视。</t>
        </is>
      </c>
      <c r="F1239" s="0" t="inlineStr">
        <is>
          <t>学校举行了隆重的毕业典礼。</t>
        </is>
      </c>
    </row>
    <row r="1240">
      <c r="A1240" s="0" t="inlineStr">
        <is>
          <t>bài 27</t>
        </is>
      </c>
      <c r="B1240" s="0" t="inlineStr">
        <is>
          <t>仪式</t>
        </is>
      </c>
      <c r="D1240" s="0" t="inlineStr">
        <is>
          <t>按照规定进行的一些活动。</t>
        </is>
      </c>
      <c r="F1240" s="0" t="inlineStr">
        <is>
          <t>开学仪式马上开始了。</t>
        </is>
      </c>
    </row>
    <row r="1241">
      <c r="A1241" s="0" t="inlineStr">
        <is>
          <t>bài 27</t>
        </is>
      </c>
      <c r="B1241" s="0" t="inlineStr">
        <is>
          <t>沐浴</t>
        </is>
      </c>
      <c r="D1241" s="0" t="inlineStr">
        <is>
          <t>洗澡或洗身体。</t>
        </is>
      </c>
      <c r="F1241" s="0" t="inlineStr">
        <is>
          <t>运动以后，我先去沐浴。</t>
        </is>
      </c>
    </row>
    <row r="1242">
      <c r="A1242" s="0" t="inlineStr">
        <is>
          <t>bài 27</t>
        </is>
      </c>
      <c r="B1242" s="0" t="inlineStr">
        <is>
          <t>荤</t>
        </is>
      </c>
      <c r="D1242" s="0" t="inlineStr">
        <is>
          <t>鱼、肉等食物。</t>
        </is>
      </c>
      <c r="F1242" s="0" t="inlineStr">
        <is>
          <t>我今天不想吃荤。</t>
        </is>
      </c>
    </row>
    <row r="1243">
      <c r="A1243" s="0" t="inlineStr">
        <is>
          <t>bài 27</t>
        </is>
      </c>
      <c r="B1243" s="0" t="inlineStr">
        <is>
          <t>庄严</t>
        </is>
      </c>
      <c r="D1243" s="0" t="inlineStr">
        <is>
          <t>让人觉得认真、神圣。</t>
        </is>
      </c>
      <c r="F1243" s="0" t="inlineStr">
        <is>
          <t>大家安静地参加庄严的升旗仪式。</t>
        </is>
      </c>
    </row>
    <row r="1244">
      <c r="A1244" s="0" t="inlineStr">
        <is>
          <t>bài 27</t>
        </is>
      </c>
      <c r="B1244" s="0" t="inlineStr">
        <is>
          <t>尸体</t>
        </is>
      </c>
      <c r="D1244" s="0" t="inlineStr">
        <is>
          <t>人死后的身体。</t>
        </is>
      </c>
      <c r="F1244" s="0" t="inlineStr">
        <is>
          <t>警察发现了尸体。</t>
        </is>
      </c>
    </row>
    <row r="1245">
      <c r="A1245" s="0" t="inlineStr">
        <is>
          <t>bài 27</t>
        </is>
      </c>
      <c r="B1245" s="0" t="inlineStr">
        <is>
          <t>撒谎</t>
        </is>
      </c>
      <c r="D1245" s="0" t="inlineStr">
        <is>
          <t>故意说不真实的话。</t>
        </is>
      </c>
      <c r="F1245" s="0" t="inlineStr">
        <is>
          <t>他从来不撒谎。</t>
        </is>
      </c>
    </row>
    <row r="1246">
      <c r="A1246" s="0" t="inlineStr">
        <is>
          <t>bài 27</t>
        </is>
      </c>
      <c r="B1246" s="0" t="inlineStr">
        <is>
          <t>亦</t>
        </is>
      </c>
      <c r="D1246" s="0" t="inlineStr">
        <is>
          <t>也。</t>
        </is>
      </c>
      <c r="F1246" s="0" t="inlineStr">
        <is>
          <t>这个地方亦叫古城。</t>
        </is>
      </c>
    </row>
    <row r="1247">
      <c r="A1247" s="0" t="inlineStr">
        <is>
          <t>bài 27</t>
        </is>
      </c>
      <c r="B1247" s="0" t="inlineStr">
        <is>
          <t>边境</t>
        </is>
      </c>
      <c r="D1247" s="0" t="inlineStr">
        <is>
          <t>国家和国家相接的地方。</t>
        </is>
      </c>
      <c r="F1247" s="0" t="inlineStr">
        <is>
          <t>这里靠近两国边境。</t>
        </is>
      </c>
    </row>
    <row r="1248">
      <c r="A1248" s="0" t="inlineStr">
        <is>
          <t>bài 27</t>
        </is>
      </c>
      <c r="B1248" s="0" t="inlineStr">
        <is>
          <t>泄露</t>
        </is>
      </c>
      <c r="D1248" s="0" t="inlineStr">
        <is>
          <t>把秘密告诉别人。</t>
        </is>
      </c>
      <c r="F1248" s="0" t="inlineStr">
        <is>
          <t>这件事不能泄露出去。</t>
        </is>
      </c>
    </row>
    <row r="1249">
      <c r="A1249" s="0" t="inlineStr">
        <is>
          <t>bài 27</t>
        </is>
      </c>
      <c r="B1249" s="0" t="inlineStr">
        <is>
          <t>率领</t>
        </is>
      </c>
      <c r="D1249" s="0" t="inlineStr">
        <is>
          <t>带着大家一起行动。</t>
        </is>
      </c>
      <c r="F1249" s="0" t="inlineStr">
        <is>
          <t>老师率领同学们参加比赛。</t>
        </is>
      </c>
    </row>
    <row r="1250">
      <c r="A1250" s="0" t="inlineStr">
        <is>
          <t>bài 27</t>
        </is>
      </c>
      <c r="B1250" s="0" t="inlineStr">
        <is>
          <t>歪曲</t>
        </is>
      </c>
      <c r="D1250" s="0" t="inlineStr">
        <is>
          <t>故意改变原来的意思。</t>
        </is>
      </c>
      <c r="F1250" s="0" t="inlineStr">
        <is>
          <t>你不要歪曲我的意思。</t>
        </is>
      </c>
    </row>
    <row r="1251">
      <c r="A1251" s="0" t="inlineStr">
        <is>
          <t>bài 27</t>
        </is>
      </c>
      <c r="B1251" s="0" t="inlineStr">
        <is>
          <t>理直气壮</t>
        </is>
      </c>
      <c r="D1251" s="0" t="inlineStr">
        <is>
          <t>觉得自己有道理，说话很有信心。</t>
        </is>
      </c>
      <c r="F1251" s="0" t="inlineStr">
        <is>
          <t>他理直气壮地回答老师的问题。</t>
        </is>
      </c>
    </row>
    <row r="1252">
      <c r="A1252" s="0" t="inlineStr">
        <is>
          <t>bài 27</t>
        </is>
      </c>
      <c r="B1252" s="0" t="inlineStr">
        <is>
          <t>压迫</t>
        </is>
      </c>
      <c r="D1252" s="0" t="inlineStr">
        <is>
          <t>用力量让别人按自己的意思做。</t>
        </is>
      </c>
      <c r="F1252" s="0" t="inlineStr">
        <is>
          <t>老板不能压迫员工。</t>
        </is>
      </c>
    </row>
    <row r="1253">
      <c r="A1253" s="0" t="inlineStr">
        <is>
          <t>bài 27</t>
        </is>
      </c>
      <c r="B1253" s="0" t="inlineStr">
        <is>
          <t>口头</t>
        </is>
      </c>
      <c r="D1253" s="0" t="inlineStr">
        <is>
          <t>表示数量，常用在脸、眼镜、对联等前面。</t>
        </is>
      </c>
      <c r="F1253" s="0" t="inlineStr">
        <is>
          <t>我们只是口头约定，还没有签合同。</t>
        </is>
      </c>
    </row>
    <row r="1254">
      <c r="A1254" s="0" t="inlineStr">
        <is>
          <t>bài 27</t>
        </is>
      </c>
      <c r="B1254" s="0" t="inlineStr">
        <is>
          <t>副</t>
        </is>
      </c>
      <c r="F1254" s="0" t="inlineStr">
        <is>
          <t>他戴着一副眼镜。</t>
        </is>
      </c>
    </row>
    <row r="1255">
      <c r="A1255" s="0" t="inlineStr">
        <is>
          <t>bài 27</t>
        </is>
      </c>
      <c r="B1255" s="0" t="inlineStr">
        <is>
          <t>姿态</t>
        </is>
      </c>
      <c r="D1255" s="0" t="inlineStr">
        <is>
          <t>人的样子、动作或表现出来的样子。</t>
        </is>
      </c>
      <c r="F1255" s="0" t="inlineStr">
        <is>
          <t>她跳舞的时候姿态很优美。</t>
        </is>
      </c>
    </row>
    <row r="1256">
      <c r="A1256" s="0" t="inlineStr">
        <is>
          <t>bài 27</t>
        </is>
      </c>
      <c r="B1256" s="0" t="inlineStr">
        <is>
          <t>隔阂</t>
        </is>
      </c>
      <c r="D1256" s="0" t="inlineStr">
        <is>
          <t>人与人之间不理解、不亲近。</t>
        </is>
      </c>
      <c r="F1256" s="0" t="inlineStr">
        <is>
          <t>他们之间已经没有隔阂了。</t>
        </is>
      </c>
    </row>
    <row r="1257">
      <c r="A1257" s="0" t="inlineStr">
        <is>
          <t>bài 27</t>
        </is>
      </c>
      <c r="B1257" s="0" t="inlineStr">
        <is>
          <t>争端</t>
        </is>
      </c>
      <c r="D1257" s="0" t="inlineStr">
        <is>
          <t>国家、团体或个人之间发生的问题和矛盾。</t>
        </is>
      </c>
      <c r="F1257" s="0" t="inlineStr">
        <is>
          <t>两国正在解决争端。</t>
        </is>
      </c>
    </row>
    <row r="1258">
      <c r="A1258" s="0" t="inlineStr">
        <is>
          <t>bài 28</t>
        </is>
      </c>
      <c r="B1258" s="0" t="inlineStr">
        <is>
          <t>领会</t>
        </is>
      </c>
      <c r="D1258" s="0" t="inlineStr">
        <is>
          <t>理解、明白意思。</t>
        </is>
      </c>
      <c r="F1258" s="0" t="inlineStr">
        <is>
          <t>大家已经领会了他的意思。</t>
        </is>
      </c>
    </row>
    <row r="1259">
      <c r="A1259" s="0" t="inlineStr">
        <is>
          <t>bài 28</t>
        </is>
      </c>
      <c r="B1259" s="0" t="inlineStr">
        <is>
          <t>内涵</t>
        </is>
      </c>
      <c r="D1259" s="0" t="inlineStr">
        <is>
          <t>事物内部包含的意义或内容。</t>
        </is>
      </c>
      <c r="F1259" s="0" t="inlineStr">
        <is>
          <t>经过老师的讲解，同学们领会了课文的内涵。</t>
        </is>
      </c>
    </row>
    <row r="1260">
      <c r="A1260" s="0" t="inlineStr">
        <is>
          <t>bài 28</t>
        </is>
      </c>
      <c r="B1260" s="0" t="inlineStr">
        <is>
          <t>港湾</t>
        </is>
      </c>
      <c r="D1260" s="0" t="inlineStr">
        <is>
          <t>船只停靠的安静水湾。</t>
        </is>
      </c>
      <c r="F1260" s="0" t="inlineStr">
        <is>
          <t>宁静的港湾里停靠着许多船只。</t>
        </is>
      </c>
    </row>
    <row r="1261">
      <c r="A1261" s="0" t="inlineStr">
        <is>
          <t>bài 28</t>
        </is>
      </c>
      <c r="B1261" s="0" t="inlineStr">
        <is>
          <t>晴朗</t>
        </is>
      </c>
      <c r="D1261" s="0" t="inlineStr">
        <is>
          <t>天空明亮无云，天气很好。</t>
        </is>
      </c>
      <c r="F1261" s="0" t="inlineStr">
        <is>
          <t>今天天气晴朗，万里无云。</t>
        </is>
      </c>
    </row>
    <row r="1262">
      <c r="A1262" s="0" t="inlineStr">
        <is>
          <t>bài 28</t>
        </is>
      </c>
      <c r="B1262" s="0" t="inlineStr">
        <is>
          <t>清澈</t>
        </is>
      </c>
      <c r="D1262" s="0" t="inlineStr">
        <is>
          <t>水清亮透明，能看到底部。</t>
        </is>
      </c>
      <c r="F1262" s="0" t="inlineStr">
        <is>
          <t>湖水清澈见底，一群群小鱼来往其间。</t>
        </is>
      </c>
    </row>
    <row r="1263">
      <c r="A1263" s="0" t="inlineStr">
        <is>
          <t>bài 28</t>
        </is>
      </c>
      <c r="B1263" s="0" t="inlineStr">
        <is>
          <t>粉碎</t>
        </is>
      </c>
      <c r="D1263" s="0" t="inlineStr">
        <is>
          <t>东西被打得非常碎。</t>
        </is>
      </c>
      <c r="F1263" s="0" t="inlineStr">
        <is>
          <t>他不小心把掉在地上的眼镜踩了个粉碎。</t>
        </is>
      </c>
    </row>
    <row r="1264">
      <c r="A1264" s="0" t="inlineStr">
        <is>
          <t>bài 28</t>
        </is>
      </c>
      <c r="B1264" s="0" t="inlineStr">
        <is>
          <t>弦</t>
        </is>
      </c>
      <c r="D1264" s="0" t="inlineStr">
        <is>
          <t>琴上用来发声的细线。</t>
        </is>
      </c>
      <c r="F1264" s="0" t="inlineStr">
        <is>
          <t>姐姐轻轻地拨弄着琴弦，弹出动听的乐曲。</t>
        </is>
      </c>
    </row>
    <row r="1265">
      <c r="A1265" s="0" t="inlineStr">
        <is>
          <t>bài 28</t>
        </is>
      </c>
      <c r="B1265" s="0" t="inlineStr">
        <is>
          <t>美妙</t>
        </is>
      </c>
      <c r="D1265" s="0" t="inlineStr">
        <is>
          <t>非常美妙动听。</t>
        </is>
      </c>
      <c r="F1265" s="0" t="inlineStr">
        <is>
          <t>这场演出非常美妙。</t>
        </is>
      </c>
    </row>
    <row r="1266">
      <c r="A1266" s="0" t="inlineStr">
        <is>
          <t>bài 28</t>
        </is>
      </c>
      <c r="B1266" s="0" t="inlineStr">
        <is>
          <t>砍伐</t>
        </is>
      </c>
      <c r="D1266" s="0" t="inlineStr">
        <is>
          <t>砍断树木。</t>
        </is>
      </c>
      <c r="F1266" s="0" t="inlineStr">
        <is>
          <t>我们要保护自然环境，不能随意砍伐树木。</t>
        </is>
      </c>
    </row>
    <row r="1267">
      <c r="A1267" s="0" t="inlineStr">
        <is>
          <t>bài 28</t>
        </is>
      </c>
      <c r="B1267" s="0" t="inlineStr">
        <is>
          <t>平凡</t>
        </is>
      </c>
      <c r="D1267" s="0" t="inlineStr">
        <is>
          <t>普通、平常。</t>
        </is>
      </c>
      <c r="F1267" s="0" t="inlineStr">
        <is>
          <t>他给我们讲了一段不平凡的经历。</t>
        </is>
      </c>
    </row>
    <row r="1268">
      <c r="A1268" s="0" t="inlineStr">
        <is>
          <t>bài 28</t>
        </is>
      </c>
      <c r="B1268" s="0" t="inlineStr">
        <is>
          <t>乐谱</t>
        </is>
      </c>
      <c r="D1268" s="0" t="inlineStr">
        <is>
          <t>记录音乐的符号。</t>
        </is>
      </c>
      <c r="F1268" s="0" t="inlineStr">
        <is>
          <t>我虽爱听音乐，但对乐谱知识却不太懂。</t>
        </is>
      </c>
    </row>
    <row r="1269">
      <c r="A1269" s="0" t="inlineStr">
        <is>
          <t>bài 28</t>
        </is>
      </c>
      <c r="B1269" s="0" t="inlineStr">
        <is>
          <t>赞叹</t>
        </is>
      </c>
      <c r="D1269" s="0" t="inlineStr">
        <is>
          <t>由衷地赞美。</t>
        </is>
      </c>
      <c r="F1269" s="0" t="inlineStr">
        <is>
          <t>乘客们不时发出由衷地赞叹。</t>
        </is>
      </c>
    </row>
    <row r="1270">
      <c r="A1270" s="0" t="inlineStr">
        <is>
          <t>bài 28</t>
        </is>
      </c>
      <c r="B1270" s="0" t="inlineStr">
        <is>
          <t>出神</t>
        </is>
      </c>
      <c r="D1270" s="0" t="inlineStr">
        <is>
          <t>注意力非常集中，看得出神。</t>
        </is>
      </c>
      <c r="F1270" s="0" t="inlineStr">
        <is>
          <t>他看电视看得出神，竟然没注意到敲门声。</t>
        </is>
      </c>
    </row>
    <row r="1271">
      <c r="A1271" s="0" t="inlineStr">
        <is>
          <t>bài 28</t>
        </is>
      </c>
      <c r="B1271" s="0" t="inlineStr">
        <is>
          <t>向来</t>
        </is>
      </c>
      <c r="D1271" s="0" t="inlineStr">
        <is>
          <t>从来一直都是这样。</t>
        </is>
      </c>
      <c r="F1271" s="0" t="inlineStr">
        <is>
          <t>他这人向来不拘小节。</t>
        </is>
      </c>
    </row>
    <row r="1272">
      <c r="A1272" s="0" t="inlineStr">
        <is>
          <t>bài 28</t>
        </is>
      </c>
      <c r="B1272" s="0" t="inlineStr">
        <is>
          <t>创作</t>
        </is>
      </c>
      <c r="C1272" s="0" t="inlineStr">
        <is>
          <t>chuàngzuò</t>
        </is>
      </c>
      <c r="D1272" s="0" t="inlineStr">
        <is>
          <t>写出新的作品</t>
        </is>
      </c>
      <c r="F1272" s="0" t="inlineStr">
        <is>
          <t>他利用业余时间创作了一部小说。</t>
        </is>
      </c>
    </row>
    <row r="1273">
      <c r="A1273" s="0" t="inlineStr">
        <is>
          <t>bài 28</t>
        </is>
      </c>
      <c r="B1273" s="0" t="inlineStr">
        <is>
          <t>民间</t>
        </is>
      </c>
      <c r="C1273" s="0" t="inlineStr">
        <is>
          <t>mínjiān</t>
        </is>
      </c>
      <c r="D1273" s="0" t="inlineStr">
        <is>
          <t>老百姓生活的地方</t>
        </is>
      </c>
      <c r="F1273" s="0" t="inlineStr">
        <is>
          <t>这个故事在民间流传了很久。</t>
        </is>
      </c>
    </row>
    <row r="1274">
      <c r="A1274" s="0" t="inlineStr">
        <is>
          <t>bài 28</t>
        </is>
      </c>
      <c r="B1274" s="0" t="inlineStr">
        <is>
          <t>精通</t>
        </is>
      </c>
      <c r="C1274" s="0" t="inlineStr">
        <is>
          <t>jīngtōng</t>
        </is>
      </c>
      <c r="D1274" s="0" t="inlineStr">
        <is>
          <t>对一件事非常了解，做得很好</t>
        </is>
      </c>
      <c r="F1274" s="0" t="inlineStr">
        <is>
          <t>他精通好几种外语。</t>
        </is>
      </c>
    </row>
    <row r="1275">
      <c r="A1275" s="0" t="inlineStr">
        <is>
          <t>bài 28</t>
        </is>
      </c>
      <c r="B1275" s="0" t="inlineStr">
        <is>
          <t>难能可贵</t>
        </is>
      </c>
      <c r="C1275" s="0" t="inlineStr">
        <is>
          <t>nánnéngkěguì</t>
        </is>
      </c>
      <c r="D1275" s="0" t="inlineStr">
        <is>
          <t>很难做到，所以特别值得赞扬</t>
        </is>
      </c>
      <c r="F1275" s="0" t="inlineStr">
        <is>
          <t>他一直坚持帮助别人，真是难能可贵。</t>
        </is>
      </c>
    </row>
    <row r="1276">
      <c r="A1276" s="0" t="inlineStr">
        <is>
          <t>bài 28</t>
        </is>
      </c>
      <c r="B1276" s="0" t="inlineStr">
        <is>
          <t>应邀</t>
        </is>
      </c>
      <c r="C1276" s="0" t="inlineStr">
        <is>
          <t>yìngyāo</t>
        </is>
      </c>
      <c r="D1276" s="0" t="inlineStr">
        <is>
          <t>接受别人的邀请</t>
        </is>
      </c>
      <c r="F1276" s="0" t="inlineStr">
        <is>
          <t>他应邀参加了这次晚会。</t>
        </is>
      </c>
    </row>
    <row r="1277">
      <c r="A1277" s="0" t="inlineStr">
        <is>
          <t>bài 28</t>
        </is>
      </c>
      <c r="B1277" s="0" t="inlineStr">
        <is>
          <t>钦佩</t>
        </is>
      </c>
      <c r="C1277" s="0" t="inlineStr">
        <is>
          <t>qīnpèi</t>
        </is>
      </c>
      <c r="D1277" s="0" t="inlineStr">
        <is>
          <t>很佩服，很尊重</t>
        </is>
      </c>
      <c r="F1277" s="0" t="inlineStr">
        <is>
          <t>大家都很钦佩他的勇气。</t>
        </is>
      </c>
    </row>
    <row r="1278">
      <c r="A1278" s="0" t="inlineStr">
        <is>
          <t>bài 28</t>
        </is>
      </c>
      <c r="B1278" s="0" t="inlineStr">
        <is>
          <t>演奏</t>
        </is>
      </c>
      <c r="C1278" s="0" t="inlineStr">
        <is>
          <t>yǎnzòu</t>
        </is>
      </c>
      <c r="D1278" s="0" t="inlineStr">
        <is>
          <t>用乐器表演音乐</t>
        </is>
      </c>
      <c r="F1278" s="0" t="inlineStr">
        <is>
          <t>他在晚会上为大家演奏了一曲钢琴曲。</t>
        </is>
      </c>
    </row>
    <row r="1279">
      <c r="A1279" s="0" t="inlineStr">
        <is>
          <t>bài 28</t>
        </is>
      </c>
      <c r="B1279" s="0" t="inlineStr">
        <is>
          <t>豪迈</t>
        </is>
      </c>
      <c r="D1279" s="0" t="inlineStr">
        <is>
          <t>气概豪迈，不拘小节。</t>
        </is>
      </c>
      <c r="F1279" s="0" t="inlineStr">
        <is>
          <t>他性格豪迈，从不拘小节。</t>
        </is>
      </c>
    </row>
    <row r="1280">
      <c r="A1280" s="0" t="inlineStr">
        <is>
          <t>bài 28</t>
        </is>
      </c>
      <c r="B1280" s="0" t="inlineStr">
        <is>
          <t>旋律</t>
        </is>
      </c>
      <c r="D1280" s="0" t="inlineStr">
        <is>
          <t>音乐的旋律。</t>
        </is>
      </c>
      <c r="F1280" s="0" t="inlineStr">
        <is>
          <t>这首歌曲的旋律很优美。</t>
        </is>
      </c>
    </row>
    <row r="1281">
      <c r="A1281" s="0" t="inlineStr">
        <is>
          <t>bài 28</t>
        </is>
      </c>
      <c r="B1281" s="0" t="inlineStr">
        <is>
          <t>雄伟</t>
        </is>
      </c>
      <c r="D1281" s="0" t="inlineStr">
        <is>
          <t>雄壮伟大。</t>
        </is>
      </c>
      <c r="F1281" s="0" t="inlineStr">
        <is>
          <t>雄伟的长城给我留下了深刻的印象。</t>
        </is>
      </c>
    </row>
    <row r="1282">
      <c r="A1282" s="0" t="inlineStr">
        <is>
          <t>bài 28</t>
        </is>
      </c>
      <c r="B1282" s="0" t="inlineStr">
        <is>
          <t>壮观</t>
        </is>
      </c>
      <c r="D1282" s="0" t="inlineStr">
        <is>
          <t>景象壮丽宏大。</t>
        </is>
      </c>
      <c r="F1282" s="0" t="inlineStr">
        <is>
          <t>长城的景色非常壮观，令人震撼。</t>
        </is>
      </c>
    </row>
    <row r="1283">
      <c r="A1283" s="0" t="inlineStr">
        <is>
          <t>bài 28</t>
        </is>
      </c>
      <c r="B1283" s="0" t="inlineStr">
        <is>
          <t>气势</t>
        </is>
      </c>
      <c r="D1283" s="0" t="inlineStr">
        <is>
          <t>宏大的气势。</t>
        </is>
      </c>
      <c r="F1283" s="0" t="inlineStr">
        <is>
          <t>国庆大阅兵规模宏大，气势雄壮。</t>
        </is>
      </c>
    </row>
    <row r="1284">
      <c r="A1284" s="0" t="inlineStr">
        <is>
          <t>bài 28</t>
        </is>
      </c>
      <c r="B1284" s="0" t="inlineStr">
        <is>
          <t>气魄</t>
        </is>
      </c>
      <c r="D1284" s="0" t="inlineStr">
        <is>
          <t>宏大的气魄和胆识。</t>
        </is>
      </c>
      <c r="F1284" s="0" t="inlineStr">
        <is>
          <t>他办事很有气魄。</t>
        </is>
      </c>
    </row>
    <row r="1285">
      <c r="A1285" s="0" t="inlineStr">
        <is>
          <t>bài 28</t>
        </is>
      </c>
      <c r="B1285" s="0" t="inlineStr">
        <is>
          <t>曲折</t>
        </is>
      </c>
      <c r="D1285" s="0" t="inlineStr">
        <is>
          <t>情节曲折。</t>
        </is>
      </c>
      <c r="F1285" s="0" t="inlineStr">
        <is>
          <t>这本小说情节生动曲折，很吸引人。</t>
        </is>
      </c>
    </row>
    <row r="1286">
      <c r="A1286" s="0" t="inlineStr">
        <is>
          <t>bài 28</t>
        </is>
      </c>
      <c r="B1286" s="0" t="inlineStr">
        <is>
          <t>投机</t>
        </is>
      </c>
      <c r="D1286" s="0" t="inlineStr">
        <is>
          <t>谈得投机，合得来。</t>
        </is>
      </c>
      <c r="F1286" s="0" t="inlineStr">
        <is>
          <t>两个年轻人一见如故，谈得非常投机。</t>
        </is>
      </c>
    </row>
    <row r="1287">
      <c r="A1287" s="0" t="inlineStr">
        <is>
          <t>bài 28</t>
        </is>
      </c>
      <c r="B1287" s="0" t="inlineStr">
        <is>
          <t>黎明</t>
        </is>
      </c>
      <c r="D1287" s="0" t="inlineStr">
        <is>
          <t>天快亮的时候。</t>
        </is>
      </c>
      <c r="F1287" s="0" t="inlineStr">
        <is>
          <t>黑暗就要过去,黎明即将来临。</t>
        </is>
      </c>
    </row>
    <row r="1288">
      <c r="A1288" s="0" t="inlineStr">
        <is>
          <t>bài 28</t>
        </is>
      </c>
      <c r="B1288" s="0" t="inlineStr">
        <is>
          <t>告辞</t>
        </is>
      </c>
      <c r="D1288" s="0" t="inlineStr">
        <is>
          <t>告别离开。</t>
        </is>
      </c>
      <c r="F1288" s="0" t="inlineStr">
        <is>
          <t>他坐了一会儿推说有事就告辞了。</t>
        </is>
      </c>
    </row>
    <row r="1289">
      <c r="A1289" s="0" t="inlineStr">
        <is>
          <t>bài 28</t>
        </is>
      </c>
      <c r="B1289" s="0" t="inlineStr">
        <is>
          <t>黄昏</t>
        </is>
      </c>
      <c r="D1289" s="0" t="inlineStr">
        <is>
          <t>黄昏时分。</t>
        </is>
      </c>
      <c r="F1289" s="0" t="inlineStr">
        <is>
          <t>夏日的黄昏，人们都喜欢到这块草坪上乘凉。</t>
        </is>
      </c>
    </row>
    <row r="1290">
      <c r="A1290" s="0" t="inlineStr">
        <is>
          <t>bài 28</t>
        </is>
      </c>
      <c r="B1290" s="0" t="inlineStr">
        <is>
          <t>降临</t>
        </is>
      </c>
      <c r="D1290" s="0" t="inlineStr">
        <is>
          <t>突然到来。</t>
        </is>
      </c>
      <c r="F1290" s="0" t="inlineStr">
        <is>
          <t>灾难突然降临到这个城市。</t>
        </is>
      </c>
    </row>
    <row r="1291">
      <c r="A1291" s="0" t="inlineStr">
        <is>
          <t>bài 28</t>
        </is>
      </c>
      <c r="B1291" s="0" t="inlineStr">
        <is>
          <t>沮丧</t>
        </is>
      </c>
      <c r="D1291" s="0" t="inlineStr">
        <is>
          <t>情绪低落，沮丧。</t>
        </is>
      </c>
      <c r="F1291" s="0" t="inlineStr">
        <is>
          <t>同学们神情沮丧。</t>
        </is>
      </c>
    </row>
    <row r="1292">
      <c r="A1292" s="0" t="inlineStr">
        <is>
          <t>bài 28</t>
        </is>
      </c>
      <c r="B1292" s="0" t="inlineStr">
        <is>
          <t>变故</t>
        </is>
      </c>
      <c r="D1292" s="0" t="inlineStr">
        <is>
          <t>意外发生的事情。</t>
        </is>
      </c>
      <c r="F1292" s="0" t="inlineStr">
        <is>
          <t>经历了许多的变故，他变得有些麻木。</t>
        </is>
      </c>
    </row>
    <row r="1293">
      <c r="A1293" s="0" t="inlineStr">
        <is>
          <t>bài 28</t>
        </is>
      </c>
      <c r="B1293" s="0" t="inlineStr">
        <is>
          <t>逝世</t>
        </is>
      </c>
      <c r="D1293" s="0" t="inlineStr">
        <is>
          <t>去世。</t>
        </is>
      </c>
      <c r="F1293" s="0" t="inlineStr">
        <is>
          <t>他不幸因病逝世了。</t>
        </is>
      </c>
    </row>
    <row r="1294">
      <c r="A1294" s="0" t="inlineStr">
        <is>
          <t>bài 28</t>
        </is>
      </c>
      <c r="B1294" s="0" t="inlineStr">
        <is>
          <t>坟墓</t>
        </is>
      </c>
      <c r="D1294" s="0" t="inlineStr">
        <is>
          <t>坟墓。</t>
        </is>
      </c>
      <c r="F1294" s="0" t="inlineStr">
        <is>
          <t>清明节，我们在爷爷的坟墓前摆了一束鲜花。</t>
        </is>
      </c>
    </row>
    <row r="1295">
      <c r="A1295" s="0" t="inlineStr">
        <is>
          <t>bài 28</t>
        </is>
      </c>
      <c r="B1295" s="0" t="inlineStr">
        <is>
          <t>不止</t>
        </is>
      </c>
      <c r="D1295" s="0" t="inlineStr">
        <is>
          <t>不止，持续不停。</t>
        </is>
      </c>
      <c r="F1295" s="0" t="inlineStr">
        <is>
          <t>他流泪不止。</t>
        </is>
      </c>
    </row>
    <row r="1296">
      <c r="A1296" s="0" t="inlineStr">
        <is>
          <t>bài 28</t>
        </is>
      </c>
      <c r="B1296" s="0" t="inlineStr">
        <is>
          <t>凄凉</t>
        </is>
      </c>
      <c r="D1296" s="0" t="inlineStr">
        <is>
          <t>凄惨荒凉。</t>
        </is>
      </c>
      <c r="F1296" s="0" t="inlineStr">
        <is>
          <t>地震过后，到处是一片凄凉的景象。</t>
        </is>
      </c>
    </row>
    <row r="1297">
      <c r="A1297" s="0" t="inlineStr">
        <is>
          <t>bài 28</t>
        </is>
      </c>
      <c r="B1297" s="0" t="inlineStr">
        <is>
          <t>深厚情谊</t>
        </is>
      </c>
      <c r="D1297" s="0" t="inlineStr">
        <is>
          <t>深厚的情谊。</t>
        </is>
      </c>
      <c r="F1297" s="0" t="inlineStr">
        <is>
          <t>你们对我的深情厚谊,我永远也忘不了。</t>
        </is>
      </c>
    </row>
    <row r="1298">
      <c r="A1298" s="0" t="inlineStr">
        <is>
          <t>bài 28</t>
        </is>
      </c>
      <c r="B1298" s="0" t="inlineStr">
        <is>
          <t>真挚</t>
        </is>
      </c>
      <c r="D1298" s="0" t="inlineStr">
        <is>
          <t>真诚。</t>
        </is>
      </c>
      <c r="F1298" s="0" t="inlineStr">
        <is>
          <t>你们对我的深情厚谊,我永远也忘不了。</t>
        </is>
      </c>
    </row>
    <row r="1299">
      <c r="A1299" s="0" t="inlineStr">
        <is>
          <t>bài 28</t>
        </is>
      </c>
      <c r="B1299" s="0" t="inlineStr">
        <is>
          <t>纯洁</t>
        </is>
      </c>
      <c r="D1299" s="0" t="inlineStr">
        <is>
          <t>纯洁。</t>
        </is>
      </c>
      <c r="F1299" s="0" t="inlineStr">
        <is>
          <t>同学之间的友谊是真挚的，纯洁的。</t>
        </is>
      </c>
    </row>
    <row r="1300">
      <c r="A1300" s="0" t="inlineStr">
        <is>
          <t>bài 28</t>
        </is>
      </c>
      <c r="B1300" s="0" t="inlineStr">
        <is>
          <t>节奏</t>
        </is>
      </c>
      <c r="D1300" s="0" t="inlineStr">
        <is>
          <t>音乐的节奏。</t>
        </is>
      </c>
      <c r="F1300" s="0" t="inlineStr">
        <is>
          <t>这支歌节奏比较明快。</t>
        </is>
      </c>
    </row>
    <row r="1301">
      <c r="A1301" s="0" t="inlineStr">
        <is>
          <t>bài 28</t>
        </is>
      </c>
      <c r="B1301" s="0" t="inlineStr">
        <is>
          <t>短促</t>
        </is>
      </c>
      <c r="D1301" s="0" t="inlineStr">
        <is>
          <t>时间很短促。</t>
        </is>
      </c>
      <c r="F1301" s="0" t="inlineStr">
        <is>
          <t>时间短促，容不得你慢慢思考。</t>
        </is>
      </c>
    </row>
    <row r="1302">
      <c r="A1302" s="0" t="inlineStr">
        <is>
          <t>bài 28</t>
        </is>
      </c>
      <c r="B1302" s="0" t="inlineStr">
        <is>
          <t>溅</t>
        </is>
      </c>
      <c r="D1302" s="0" t="inlineStr">
        <is>
          <t>水花飞溅。</t>
        </is>
      </c>
      <c r="F1302" s="0" t="inlineStr">
        <is>
          <t>船头飞溅起的浪花，吟唱着欢乐的歌儿。</t>
        </is>
      </c>
    </row>
    <row r="1303">
      <c r="A1303" s="0" t="inlineStr">
        <is>
          <t>bài 28</t>
        </is>
      </c>
      <c r="B1303" s="0" t="inlineStr">
        <is>
          <t>气概</t>
        </is>
      </c>
      <c r="D1303" s="0" t="inlineStr">
        <is>
          <t>英雄气概。</t>
        </is>
      </c>
      <c r="F1303" s="0" t="inlineStr">
        <is>
          <t>他有战胜一切困难的英雄气概。</t>
        </is>
      </c>
    </row>
    <row r="1304">
      <c r="A1304" s="0" t="inlineStr">
        <is>
          <t>bài 28</t>
        </is>
      </c>
      <c r="B1304" s="0" t="inlineStr">
        <is>
          <t>波涛</t>
        </is>
      </c>
      <c r="D1304" s="0" t="inlineStr">
        <is>
          <t>波浪。</t>
        </is>
      </c>
      <c r="F1304" s="0" t="inlineStr">
        <is>
          <t>狂风掀起波涛，不停地冲击着石堤。</t>
        </is>
      </c>
    </row>
    <row r="1305">
      <c r="A1305" s="0" t="inlineStr">
        <is>
          <t>bài 28</t>
        </is>
      </c>
      <c r="B1305" s="0" t="inlineStr">
        <is>
          <t>含义</t>
        </is>
      </c>
      <c r="D1305" s="0" t="inlineStr">
        <is>
          <t>含义、意思。</t>
        </is>
      </c>
      <c r="F1305" s="0" t="inlineStr">
        <is>
          <t>这段话含义深刻，你要好好体会。</t>
        </is>
      </c>
    </row>
    <row r="1306">
      <c r="A1306" s="0" t="inlineStr">
        <is>
          <t>bài 28</t>
        </is>
      </c>
      <c r="B1306" s="0" t="inlineStr">
        <is>
          <t>荒凉</t>
        </is>
      </c>
      <c r="D1306" s="0" t="inlineStr">
        <is>
          <t>荒凉。</t>
        </is>
      </c>
      <c r="F1306" s="0" t="inlineStr">
        <is>
          <t>大西北在未开发之前很荒凉。</t>
        </is>
      </c>
    </row>
    <row r="1307">
      <c r="A1307" s="0" t="inlineStr">
        <is>
          <t>bài 28</t>
        </is>
      </c>
      <c r="B1307" s="0" t="inlineStr">
        <is>
          <t>领悟</t>
        </is>
      </c>
      <c r="D1307" s="0" t="inlineStr">
        <is>
          <t>领悟、理解。</t>
        </is>
      </c>
      <c r="F1307" s="0" t="inlineStr">
        <is>
          <t>他在现实中领悟到了人生的哲理。</t>
        </is>
      </c>
    </row>
    <row r="1308">
      <c r="A1308" s="0" t="inlineStr">
        <is>
          <t>bài 28</t>
        </is>
      </c>
      <c r="B1308" s="0" t="inlineStr">
        <is>
          <t>侃侃而谈</t>
        </is>
      </c>
      <c r="D1308" s="0" t="inlineStr">
        <is>
          <t>侃侃而谈，从容不迫地说。</t>
        </is>
      </c>
      <c r="F1308" s="0" t="inlineStr">
        <is>
          <t>他一坐下来便侃侃而谈。</t>
        </is>
      </c>
    </row>
    <row r="1309">
      <c r="B1309" s="11" t="n"/>
      <c r="C1309" s="8">
        <f>pinyin(B1341)</f>
        <v/>
      </c>
      <c r="E1309" s="8">
        <f>IFERROR(__xludf.DUMMYFUNCTION("GOOGLETRANSLATE(B1341, ""zh"", ""vi"")"),"#VALUE!")</f>
        <v/>
      </c>
      <c r="H1309" s="9">
        <f>G1341=B1341</f>
        <v/>
      </c>
    </row>
    <row r="1310">
      <c r="B1310" s="11" t="n"/>
      <c r="C1310" s="8">
        <f>pinyin(B1342)</f>
        <v/>
      </c>
      <c r="E1310" s="8">
        <f>IFERROR(__xludf.DUMMYFUNCTION("GOOGLETRANSLATE(B1342, ""zh"", ""vi"")"),"#VALUE!")</f>
        <v/>
      </c>
      <c r="H1310" s="9">
        <f>G1342=B1342</f>
        <v/>
      </c>
    </row>
    <row r="1311">
      <c r="B1311" s="11" t="n"/>
      <c r="C1311" s="8">
        <f>pinyin(B1343)</f>
        <v/>
      </c>
      <c r="E1311" s="8">
        <f>IFERROR(__xludf.DUMMYFUNCTION("GOOGLETRANSLATE(B1343, ""zh"", ""vi"")"),"#VALUE!")</f>
        <v/>
      </c>
      <c r="H1311" s="9">
        <f>G1343=B1343</f>
        <v/>
      </c>
    </row>
    <row r="1312">
      <c r="B1312" s="11" t="n"/>
      <c r="C1312" s="8">
        <f>pinyin(B1344)</f>
        <v/>
      </c>
      <c r="E1312" s="8">
        <f>IFERROR(__xludf.DUMMYFUNCTION("GOOGLETRANSLATE(B1344, ""zh"", ""vi"")"),"#VALUE!")</f>
        <v/>
      </c>
      <c r="H1312" s="9">
        <f>G1344=B1344</f>
        <v/>
      </c>
    </row>
    <row r="1313">
      <c r="B1313" s="11" t="n"/>
      <c r="C1313" s="8">
        <f>pinyin(B1345)</f>
        <v/>
      </c>
      <c r="E1313" s="8">
        <f>IFERROR(__xludf.DUMMYFUNCTION("GOOGLETRANSLATE(B1345, ""zh"", ""vi"")"),"#VALUE!")</f>
        <v/>
      </c>
      <c r="H1313" s="9">
        <f>G1345=B1345</f>
        <v/>
      </c>
    </row>
    <row r="1314">
      <c r="B1314" s="11" t="n"/>
      <c r="C1314" s="8">
        <f>pinyin(B1346)</f>
        <v/>
      </c>
      <c r="E1314" s="8">
        <f>IFERROR(__xludf.DUMMYFUNCTION("GOOGLETRANSLATE(B1346, ""zh"", ""vi"")"),"#VALUE!")</f>
        <v/>
      </c>
      <c r="H1314" s="9">
        <f>G1346=B1346</f>
        <v/>
      </c>
    </row>
    <row r="1315">
      <c r="B1315" s="11" t="n"/>
      <c r="C1315" s="8">
        <f>pinyin(B1347)</f>
        <v/>
      </c>
      <c r="E1315" s="8">
        <f>IFERROR(__xludf.DUMMYFUNCTION("GOOGLETRANSLATE(B1347, ""zh"", ""vi"")"),"#VALUE!")</f>
        <v/>
      </c>
      <c r="H1315" s="9">
        <f>G1347=B1347</f>
        <v/>
      </c>
    </row>
    <row r="1316">
      <c r="B1316" s="11" t="n"/>
      <c r="C1316" s="8">
        <f>pinyin(B1348)</f>
        <v/>
      </c>
      <c r="E1316" s="8">
        <f>IFERROR(__xludf.DUMMYFUNCTION("GOOGLETRANSLATE(B1348, ""zh"", ""vi"")"),"#VALUE!")</f>
        <v/>
      </c>
      <c r="H1316" s="9">
        <f>G1348=B1348</f>
        <v/>
      </c>
    </row>
    <row r="1317">
      <c r="B1317" s="11" t="n"/>
      <c r="C1317" s="8">
        <f>pinyin(B1349)</f>
        <v/>
      </c>
      <c r="E1317" s="8">
        <f>IFERROR(__xludf.DUMMYFUNCTION("GOOGLETRANSLATE(B1349, ""zh"", ""vi"")"),"#VALUE!")</f>
        <v/>
      </c>
      <c r="H1317" s="9">
        <f>G1349=B1349</f>
        <v/>
      </c>
    </row>
    <row r="1318">
      <c r="B1318" s="11" t="n"/>
      <c r="C1318" s="8">
        <f>pinyin(B1350)</f>
        <v/>
      </c>
      <c r="E1318" s="8">
        <f>IFERROR(__xludf.DUMMYFUNCTION("GOOGLETRANSLATE(B1350, ""zh"", ""vi"")"),"#VALUE!")</f>
        <v/>
      </c>
      <c r="H1318" s="9">
        <f>G1350=B1350</f>
        <v/>
      </c>
    </row>
    <row r="1319">
      <c r="B1319" s="11" t="n"/>
      <c r="C1319" s="8">
        <f>pinyin(B1351)</f>
        <v/>
      </c>
      <c r="E1319" s="8">
        <f>IFERROR(__xludf.DUMMYFUNCTION("GOOGLETRANSLATE(B1351, ""zh"", ""vi"")"),"#VALUE!")</f>
        <v/>
      </c>
      <c r="H1319" s="9">
        <f>G1351=B1351</f>
        <v/>
      </c>
    </row>
    <row r="1320">
      <c r="B1320" s="11" t="n"/>
      <c r="C1320" s="8">
        <f>pinyin(B1352)</f>
        <v/>
      </c>
      <c r="E1320" s="8">
        <f>IFERROR(__xludf.DUMMYFUNCTION("GOOGLETRANSLATE(B1352, ""zh"", ""vi"")"),"#VALUE!")</f>
        <v/>
      </c>
      <c r="H1320" s="9">
        <f>G1352=B1352</f>
        <v/>
      </c>
    </row>
    <row r="1321">
      <c r="B1321" s="11" t="n"/>
      <c r="C1321" s="8">
        <f>pinyin(B1353)</f>
        <v/>
      </c>
      <c r="E1321" s="8">
        <f>IFERROR(__xludf.DUMMYFUNCTION("GOOGLETRANSLATE(B1353, ""zh"", ""vi"")"),"#VALUE!")</f>
        <v/>
      </c>
      <c r="H1321" s="9">
        <f>G1353=B1353</f>
        <v/>
      </c>
    </row>
    <row r="1322">
      <c r="B1322" s="11" t="n"/>
      <c r="C1322" s="8">
        <f>pinyin(B1354)</f>
        <v/>
      </c>
      <c r="E1322" s="8">
        <f>IFERROR(__xludf.DUMMYFUNCTION("GOOGLETRANSLATE(B1354, ""zh"", ""vi"")"),"#VALUE!")</f>
        <v/>
      </c>
      <c r="H1322" s="9">
        <f>G1354=B1354</f>
        <v/>
      </c>
    </row>
    <row r="1323">
      <c r="B1323" s="11" t="n"/>
      <c r="C1323" s="8">
        <f>pinyin(B1355)</f>
        <v/>
      </c>
      <c r="E1323" s="8">
        <f>IFERROR(__xludf.DUMMYFUNCTION("GOOGLETRANSLATE(B1355, ""zh"", ""vi"")"),"#VALUE!")</f>
        <v/>
      </c>
      <c r="H1323" s="9">
        <f>G1355=B1355</f>
        <v/>
      </c>
    </row>
    <row r="1324">
      <c r="B1324" s="11" t="n"/>
      <c r="C1324" s="8">
        <f>pinyin(B1356)</f>
        <v/>
      </c>
      <c r="E1324" s="8">
        <f>IFERROR(__xludf.DUMMYFUNCTION("GOOGLETRANSLATE(B1356, ""zh"", ""vi"")"),"#VALUE!")</f>
        <v/>
      </c>
      <c r="H1324" s="9">
        <f>G1356=B1356</f>
        <v/>
      </c>
    </row>
    <row r="1325">
      <c r="B1325" s="11" t="n"/>
      <c r="C1325" s="8">
        <f>pinyin(B1357)</f>
        <v/>
      </c>
      <c r="E1325" s="8">
        <f>IFERROR(__xludf.DUMMYFUNCTION("GOOGLETRANSLATE(B1357, ""zh"", ""vi"")"),"#VALUE!")</f>
        <v/>
      </c>
      <c r="H1325" s="9">
        <f>G1357=B1357</f>
        <v/>
      </c>
    </row>
    <row r="1326">
      <c r="B1326" s="11" t="n"/>
      <c r="C1326" s="8">
        <f>pinyin(B1358)</f>
        <v/>
      </c>
      <c r="E1326" s="8">
        <f>IFERROR(__xludf.DUMMYFUNCTION("GOOGLETRANSLATE(B1358, ""zh"", ""vi"")"),"#VALUE!")</f>
        <v/>
      </c>
      <c r="H1326" s="9">
        <f>G1358=B1358</f>
        <v/>
      </c>
    </row>
    <row r="1327">
      <c r="B1327" s="11" t="n"/>
      <c r="C1327" s="8">
        <f>pinyin(B1359)</f>
        <v/>
      </c>
      <c r="E1327" s="8">
        <f>IFERROR(__xludf.DUMMYFUNCTION("GOOGLETRANSLATE(B1359, ""zh"", ""vi"")"),"#VALUE!")</f>
        <v/>
      </c>
      <c r="H1327" s="9">
        <f>G1359=B1359</f>
        <v/>
      </c>
    </row>
    <row r="1328">
      <c r="B1328" s="11" t="n"/>
      <c r="C1328" s="8">
        <f>pinyin(B1360)</f>
        <v/>
      </c>
      <c r="E1328" s="8">
        <f>IFERROR(__xludf.DUMMYFUNCTION("GOOGLETRANSLATE(B1360, ""zh"", ""vi"")"),"#VALUE!")</f>
        <v/>
      </c>
      <c r="H1328" s="9">
        <f>G1360=B1360</f>
        <v/>
      </c>
    </row>
    <row r="1329">
      <c r="B1329" s="11" t="n"/>
      <c r="C1329" s="8">
        <f>pinyin(B1361)</f>
        <v/>
      </c>
      <c r="E1329" s="8">
        <f>IFERROR(__xludf.DUMMYFUNCTION("GOOGLETRANSLATE(B1361, ""zh"", ""vi"")"),"#VALUE!")</f>
        <v/>
      </c>
      <c r="H1329" s="9">
        <f>G1361=B1361</f>
        <v/>
      </c>
    </row>
    <row r="1330">
      <c r="B1330" s="11" t="n"/>
      <c r="C1330" s="8">
        <f>pinyin(B1362)</f>
        <v/>
      </c>
      <c r="E1330" s="8">
        <f>IFERROR(__xludf.DUMMYFUNCTION("GOOGLETRANSLATE(B1362, ""zh"", ""vi"")"),"#VALUE!")</f>
        <v/>
      </c>
      <c r="H1330" s="9">
        <f>G1362=B1362</f>
        <v/>
      </c>
    </row>
    <row r="1331">
      <c r="B1331" s="11" t="n"/>
      <c r="C1331" s="8">
        <f>pinyin(B1363)</f>
        <v/>
      </c>
      <c r="E1331" s="8">
        <f>IFERROR(__xludf.DUMMYFUNCTION("GOOGLETRANSLATE(B1363, ""zh"", ""vi"")"),"#VALUE!")</f>
        <v/>
      </c>
      <c r="H1331" s="9">
        <f>G1363=B1363</f>
        <v/>
      </c>
    </row>
    <row r="1332">
      <c r="B1332" s="11" t="n"/>
      <c r="C1332" s="8">
        <f>pinyin(B1364)</f>
        <v/>
      </c>
      <c r="E1332" s="8">
        <f>IFERROR(__xludf.DUMMYFUNCTION("GOOGLETRANSLATE(B1364, ""zh"", ""vi"")"),"#VALUE!")</f>
        <v/>
      </c>
      <c r="H1332" s="9">
        <f>G1364=B1364</f>
        <v/>
      </c>
    </row>
    <row r="1333">
      <c r="B1333" s="11" t="n"/>
      <c r="C1333" s="8">
        <f>pinyin(B1365)</f>
        <v/>
      </c>
      <c r="E1333" s="8">
        <f>IFERROR(__xludf.DUMMYFUNCTION("GOOGLETRANSLATE(B1365, ""zh"", ""vi"")"),"#VALUE!")</f>
        <v/>
      </c>
      <c r="H1333" s="9">
        <f>G1365=B1365</f>
        <v/>
      </c>
    </row>
    <row r="1334">
      <c r="B1334" s="11" t="n"/>
      <c r="C1334" s="8">
        <f>pinyin(B1366)</f>
        <v/>
      </c>
      <c r="E1334" s="8">
        <f>IFERROR(__xludf.DUMMYFUNCTION("GOOGLETRANSLATE(B1366, ""zh"", ""vi"")"),"#VALUE!")</f>
        <v/>
      </c>
      <c r="H1334" s="9">
        <f>G1366=B1366</f>
        <v/>
      </c>
    </row>
    <row r="1335">
      <c r="B1335" s="11" t="n"/>
      <c r="C1335" s="8">
        <f>pinyin(B1367)</f>
        <v/>
      </c>
      <c r="E1335" s="8">
        <f>IFERROR(__xludf.DUMMYFUNCTION("GOOGLETRANSLATE(B1367, ""zh"", ""vi"")"),"#VALUE!")</f>
        <v/>
      </c>
      <c r="H1335" s="9">
        <f>G1367=B1367</f>
        <v/>
      </c>
    </row>
    <row r="1336">
      <c r="B1336" s="11" t="n"/>
      <c r="C1336" s="8">
        <f>pinyin(B1368)</f>
        <v/>
      </c>
      <c r="E1336" s="8">
        <f>IFERROR(__xludf.DUMMYFUNCTION("GOOGLETRANSLATE(B1368, ""zh"", ""vi"")"),"#VALUE!")</f>
        <v/>
      </c>
      <c r="H1336" s="9">
        <f>G1368=B1368</f>
        <v/>
      </c>
    </row>
    <row r="1337">
      <c r="B1337" s="11" t="n"/>
      <c r="C1337" s="8">
        <f>pinyin(B1369)</f>
        <v/>
      </c>
      <c r="E1337" s="8">
        <f>IFERROR(__xludf.DUMMYFUNCTION("GOOGLETRANSLATE(B1369, ""zh"", ""vi"")"),"#VALUE!")</f>
        <v/>
      </c>
      <c r="H1337" s="9">
        <f>G1369=B1369</f>
        <v/>
      </c>
    </row>
    <row r="1338">
      <c r="B1338" s="11" t="n"/>
      <c r="C1338" s="8">
        <f>pinyin(B1370)</f>
        <v/>
      </c>
      <c r="E1338" s="8">
        <f>IFERROR(__xludf.DUMMYFUNCTION("GOOGLETRANSLATE(B1370, ""zh"", ""vi"")"),"#VALUE!")</f>
        <v/>
      </c>
      <c r="H1338" s="9">
        <f>G1370=B1370</f>
        <v/>
      </c>
    </row>
    <row r="1339">
      <c r="B1339" s="11" t="n"/>
      <c r="C1339" s="8">
        <f>pinyin(B1371)</f>
        <v/>
      </c>
      <c r="E1339" s="8">
        <f>IFERROR(__xludf.DUMMYFUNCTION("GOOGLETRANSLATE(B1371, ""zh"", ""vi"")"),"#VALUE!")</f>
        <v/>
      </c>
      <c r="H1339" s="9">
        <f>G1371=B1371</f>
        <v/>
      </c>
    </row>
    <row r="1340">
      <c r="B1340" s="11" t="n"/>
      <c r="C1340" s="8">
        <f>pinyin(B1372)</f>
        <v/>
      </c>
      <c r="E1340" s="8">
        <f>IFERROR(__xludf.DUMMYFUNCTION("GOOGLETRANSLATE(B1372, ""zh"", ""vi"")"),"#VALUE!")</f>
        <v/>
      </c>
      <c r="H1340" s="9">
        <f>G1372=B1372</f>
        <v/>
      </c>
    </row>
    <row r="1341">
      <c r="B1341" s="11" t="n"/>
      <c r="C1341" s="8">
        <f>pinyin(B1373)</f>
        <v/>
      </c>
      <c r="E1341" s="8">
        <f>IFERROR(__xludf.DUMMYFUNCTION("GOOGLETRANSLATE(B1373, ""zh"", ""vi"")"),"#VALUE!")</f>
        <v/>
      </c>
      <c r="H1341" s="9">
        <f>G1373=B1373</f>
        <v/>
      </c>
    </row>
    <row r="1342">
      <c r="B1342" s="11" t="n"/>
      <c r="C1342" s="8">
        <f>pinyin(B1374)</f>
        <v/>
      </c>
      <c r="E1342" s="8">
        <f>IFERROR(__xludf.DUMMYFUNCTION("GOOGLETRANSLATE(B1374, ""zh"", ""vi"")"),"#VALUE!")</f>
        <v/>
      </c>
      <c r="H1342" s="9">
        <f>G1374=B1374</f>
        <v/>
      </c>
    </row>
    <row r="1343">
      <c r="B1343" s="11" t="n"/>
      <c r="C1343" s="8">
        <f>pinyin(B1375)</f>
        <v/>
      </c>
      <c r="E1343" s="8">
        <f>IFERROR(__xludf.DUMMYFUNCTION("GOOGLETRANSLATE(B1375, ""zh"", ""vi"")"),"#VALUE!")</f>
        <v/>
      </c>
      <c r="H1343" s="9">
        <f>G1375=B1375</f>
        <v/>
      </c>
    </row>
    <row r="1344">
      <c r="B1344" s="11" t="n"/>
      <c r="C1344" s="8">
        <f>pinyin(B1376)</f>
        <v/>
      </c>
      <c r="E1344" s="8">
        <f>IFERROR(__xludf.DUMMYFUNCTION("GOOGLETRANSLATE(B1376, ""zh"", ""vi"")"),"#VALUE!")</f>
        <v/>
      </c>
      <c r="H1344" s="9">
        <f>G1376=B1376</f>
        <v/>
      </c>
    </row>
    <row r="1345">
      <c r="B1345" s="11" t="n"/>
      <c r="C1345" s="8">
        <f>pinyin(B1377)</f>
        <v/>
      </c>
      <c r="E1345" s="8">
        <f>IFERROR(__xludf.DUMMYFUNCTION("GOOGLETRANSLATE(B1377, ""zh"", ""vi"")"),"#VALUE!")</f>
        <v/>
      </c>
      <c r="H1345" s="9">
        <f>G1377=B1377</f>
        <v/>
      </c>
    </row>
    <row r="1346">
      <c r="B1346" s="11" t="n"/>
      <c r="C1346" s="8">
        <f>pinyin(B1378)</f>
        <v/>
      </c>
      <c r="E1346" s="8">
        <f>IFERROR(__xludf.DUMMYFUNCTION("GOOGLETRANSLATE(B1378, ""zh"", ""vi"")"),"#VALUE!")</f>
        <v/>
      </c>
      <c r="H1346" s="9">
        <f>G1378=B1378</f>
        <v/>
      </c>
    </row>
    <row r="1347">
      <c r="B1347" s="11" t="n"/>
      <c r="C1347" s="8">
        <f>pinyin(B1379)</f>
        <v/>
      </c>
      <c r="E1347" s="8">
        <f>IFERROR(__xludf.DUMMYFUNCTION("GOOGLETRANSLATE(B1379, ""zh"", ""vi"")"),"#VALUE!")</f>
        <v/>
      </c>
      <c r="H1347" s="9">
        <f>G1379=B1379</f>
        <v/>
      </c>
    </row>
    <row r="1348">
      <c r="B1348" s="11" t="n"/>
      <c r="C1348" s="8">
        <f>pinyin(B1380)</f>
        <v/>
      </c>
      <c r="E1348" s="8">
        <f>IFERROR(__xludf.DUMMYFUNCTION("GOOGLETRANSLATE(B1380, ""zh"", ""vi"")"),"#VALUE!")</f>
        <v/>
      </c>
      <c r="H1348" s="9">
        <f>G1380=B1380</f>
        <v/>
      </c>
    </row>
    <row r="1349">
      <c r="B1349" s="11" t="n"/>
      <c r="C1349" s="8">
        <f>pinyin(B1381)</f>
        <v/>
      </c>
      <c r="E1349" s="8">
        <f>IFERROR(__xludf.DUMMYFUNCTION("GOOGLETRANSLATE(B1381, ""zh"", ""vi"")"),"#VALUE!")</f>
        <v/>
      </c>
      <c r="H1349" s="9">
        <f>G1381=B1381</f>
        <v/>
      </c>
    </row>
    <row r="1350">
      <c r="B1350" s="11" t="n"/>
      <c r="C1350" s="8">
        <f>pinyin(B1382)</f>
        <v/>
      </c>
      <c r="E1350" s="8">
        <f>IFERROR(__xludf.DUMMYFUNCTION("GOOGLETRANSLATE(B1382, ""zh"", ""vi"")"),"#VALUE!")</f>
        <v/>
      </c>
      <c r="H1350" s="9">
        <f>G1382=B1382</f>
        <v/>
      </c>
    </row>
    <row r="1351">
      <c r="B1351" s="11" t="n"/>
      <c r="C1351" s="8">
        <f>pinyin(B1383)</f>
        <v/>
      </c>
      <c r="E1351" s="8">
        <f>IFERROR(__xludf.DUMMYFUNCTION("GOOGLETRANSLATE(B1383, ""zh"", ""vi"")"),"#VALUE!")</f>
        <v/>
      </c>
      <c r="H1351" s="9">
        <f>G1383=B1383</f>
        <v/>
      </c>
    </row>
    <row r="1352">
      <c r="B1352" s="11" t="n"/>
      <c r="C1352" s="8">
        <f>pinyin(B1384)</f>
        <v/>
      </c>
      <c r="E1352" s="8">
        <f>IFERROR(__xludf.DUMMYFUNCTION("GOOGLETRANSLATE(B1384, ""zh"", ""vi"")"),"#VALUE!")</f>
        <v/>
      </c>
      <c r="H1352" s="9">
        <f>G1384=B1384</f>
        <v/>
      </c>
    </row>
    <row r="1353">
      <c r="B1353" s="11" t="n"/>
      <c r="C1353" s="8">
        <f>pinyin(B1385)</f>
        <v/>
      </c>
      <c r="E1353" s="8">
        <f>IFERROR(__xludf.DUMMYFUNCTION("GOOGLETRANSLATE(B1385, ""zh"", ""vi"")"),"#VALUE!")</f>
        <v/>
      </c>
      <c r="H1353" s="9">
        <f>G1385=B1385</f>
        <v/>
      </c>
    </row>
    <row r="1354">
      <c r="B1354" s="11" t="n"/>
      <c r="C1354" s="8">
        <f>pinyin(B1386)</f>
        <v/>
      </c>
      <c r="E1354" s="8">
        <f>IFERROR(__xludf.DUMMYFUNCTION("GOOGLETRANSLATE(B1386, ""zh"", ""vi"")"),"#VALUE!")</f>
        <v/>
      </c>
      <c r="H1354" s="9">
        <f>G1386=B1386</f>
        <v/>
      </c>
    </row>
    <row r="1355">
      <c r="B1355" s="11" t="n"/>
      <c r="C1355" s="8">
        <f>pinyin(B1387)</f>
        <v/>
      </c>
      <c r="E1355" s="8">
        <f>IFERROR(__xludf.DUMMYFUNCTION("GOOGLETRANSLATE(B1387, ""zh"", ""vi"")"),"#VALUE!")</f>
        <v/>
      </c>
      <c r="H1355" s="9">
        <f>G1387=B1387</f>
        <v/>
      </c>
    </row>
    <row r="1356">
      <c r="B1356" s="11" t="n"/>
      <c r="C1356" s="8">
        <f>pinyin(B1388)</f>
        <v/>
      </c>
      <c r="E1356" s="8">
        <f>IFERROR(__xludf.DUMMYFUNCTION("GOOGLETRANSLATE(B1388, ""zh"", ""vi"")"),"#VALUE!")</f>
        <v/>
      </c>
      <c r="H1356" s="9">
        <f>G1388=B1388</f>
        <v/>
      </c>
    </row>
    <row r="1357">
      <c r="B1357" s="11" t="n"/>
      <c r="C1357" s="8">
        <f>pinyin(B1389)</f>
        <v/>
      </c>
      <c r="E1357" s="8">
        <f>IFERROR(__xludf.DUMMYFUNCTION("GOOGLETRANSLATE(B1389, ""zh"", ""vi"")"),"#VALUE!")</f>
        <v/>
      </c>
      <c r="H1357" s="9">
        <f>G1389=B1389</f>
        <v/>
      </c>
    </row>
    <row r="1358">
      <c r="B1358" s="11" t="n"/>
      <c r="C1358" s="8">
        <f>pinyin(B1390)</f>
        <v/>
      </c>
      <c r="E1358" s="8">
        <f>IFERROR(__xludf.DUMMYFUNCTION("GOOGLETRANSLATE(B1390, ""zh"", ""vi"")"),"#VALUE!")</f>
        <v/>
      </c>
      <c r="H1358" s="9">
        <f>G1390=B1390</f>
        <v/>
      </c>
    </row>
    <row r="1359">
      <c r="B1359" s="11" t="n"/>
      <c r="C1359" s="8">
        <f>pinyin(B1391)</f>
        <v/>
      </c>
      <c r="E1359" s="8">
        <f>IFERROR(__xludf.DUMMYFUNCTION("GOOGLETRANSLATE(B1391, ""zh"", ""vi"")"),"#VALUE!")</f>
        <v/>
      </c>
      <c r="H1359" s="9">
        <f>G1391=B1391</f>
        <v/>
      </c>
    </row>
    <row r="1360">
      <c r="B1360" s="11" t="n"/>
      <c r="C1360" s="8">
        <f>pinyin(B1392)</f>
        <v/>
      </c>
      <c r="E1360" s="8">
        <f>IFERROR(__xludf.DUMMYFUNCTION("GOOGLETRANSLATE(B1392, ""zh"", ""vi"")"),"#VALUE!")</f>
        <v/>
      </c>
      <c r="H1360" s="9">
        <f>G1392=B1392</f>
        <v/>
      </c>
    </row>
    <row r="1361">
      <c r="B1361" s="11" t="n"/>
      <c r="C1361" s="8">
        <f>pinyin(B1393)</f>
        <v/>
      </c>
      <c r="E1361" s="8">
        <f>IFERROR(__xludf.DUMMYFUNCTION("GOOGLETRANSLATE(B1393, ""zh"", ""vi"")"),"#VALUE!")</f>
        <v/>
      </c>
      <c r="H1361" s="9">
        <f>G1393=B1393</f>
        <v/>
      </c>
    </row>
    <row r="1362">
      <c r="B1362" s="11" t="n"/>
      <c r="C1362" s="8">
        <f>pinyin(B1394)</f>
        <v/>
      </c>
      <c r="E1362" s="8">
        <f>IFERROR(__xludf.DUMMYFUNCTION("GOOGLETRANSLATE(B1394, ""zh"", ""vi"")"),"#VALUE!")</f>
        <v/>
      </c>
      <c r="H1362" s="9">
        <f>G1394=B1394</f>
        <v/>
      </c>
    </row>
    <row r="1363">
      <c r="B1363" s="11" t="n"/>
      <c r="C1363" s="8">
        <f>pinyin(B1395)</f>
        <v/>
      </c>
      <c r="E1363" s="8">
        <f>IFERROR(__xludf.DUMMYFUNCTION("GOOGLETRANSLATE(B1395, ""zh"", ""vi"")"),"#VALUE!")</f>
        <v/>
      </c>
      <c r="H1363" s="9">
        <f>G1395=B1395</f>
        <v/>
      </c>
    </row>
    <row r="1364">
      <c r="B1364" s="11" t="n"/>
      <c r="C1364" s="8">
        <f>pinyin(B1396)</f>
        <v/>
      </c>
      <c r="E1364" s="8">
        <f>IFERROR(__xludf.DUMMYFUNCTION("GOOGLETRANSLATE(B1396, ""zh"", ""vi"")"),"#VALUE!")</f>
        <v/>
      </c>
      <c r="H1364" s="9">
        <f>G1396=B1396</f>
        <v/>
      </c>
    </row>
    <row r="1365">
      <c r="B1365" s="11" t="n"/>
      <c r="C1365" s="8">
        <f>pinyin(B1397)</f>
        <v/>
      </c>
      <c r="E1365" s="8">
        <f>IFERROR(__xludf.DUMMYFUNCTION("GOOGLETRANSLATE(B1397, ""zh"", ""vi"")"),"#VALUE!")</f>
        <v/>
      </c>
      <c r="H1365" s="9">
        <f>G1397=B1397</f>
        <v/>
      </c>
    </row>
    <row r="1366">
      <c r="B1366" s="11" t="n"/>
      <c r="C1366" s="8">
        <f>pinyin(B1398)</f>
        <v/>
      </c>
      <c r="E1366" s="8">
        <f>IFERROR(__xludf.DUMMYFUNCTION("GOOGLETRANSLATE(B1398, ""zh"", ""vi"")"),"#VALUE!")</f>
        <v/>
      </c>
      <c r="H1366" s="9">
        <f>G1398=B1398</f>
        <v/>
      </c>
    </row>
    <row r="1367">
      <c r="B1367" s="11" t="n"/>
      <c r="C1367" s="8">
        <f>pinyin(B1399)</f>
        <v/>
      </c>
      <c r="E1367" s="8">
        <f>IFERROR(__xludf.DUMMYFUNCTION("GOOGLETRANSLATE(B1399, ""zh"", ""vi"")"),"#VALUE!")</f>
        <v/>
      </c>
      <c r="H1367" s="9">
        <f>G1399=B1399</f>
        <v/>
      </c>
    </row>
    <row r="1368">
      <c r="B1368" s="11" t="n"/>
      <c r="C1368" s="8">
        <f>pinyin(B1400)</f>
        <v/>
      </c>
      <c r="E1368" s="8">
        <f>IFERROR(__xludf.DUMMYFUNCTION("GOOGLETRANSLATE(B1400, ""zh"", ""vi"")"),"#VALUE!")</f>
        <v/>
      </c>
      <c r="H1368" s="9">
        <f>G1400=B1400</f>
        <v/>
      </c>
    </row>
    <row r="1369">
      <c r="B1369" s="11" t="n"/>
      <c r="C1369" s="8">
        <f>pinyin(B1401)</f>
        <v/>
      </c>
      <c r="E1369" s="8">
        <f>IFERROR(__xludf.DUMMYFUNCTION("GOOGLETRANSLATE(B1401, ""zh"", ""vi"")"),"#VALUE!")</f>
        <v/>
      </c>
      <c r="H1369" s="9">
        <f>G1401=B1401</f>
        <v/>
      </c>
    </row>
    <row r="1370">
      <c r="B1370" s="11" t="n"/>
      <c r="C1370" s="8">
        <f>pinyin(B1402)</f>
        <v/>
      </c>
      <c r="E1370" s="8">
        <f>IFERROR(__xludf.DUMMYFUNCTION("GOOGLETRANSLATE(B1402, ""zh"", ""vi"")"),"#VALUE!")</f>
        <v/>
      </c>
      <c r="H1370" s="9">
        <f>G1402=B1402</f>
        <v/>
      </c>
    </row>
    <row r="1371">
      <c r="B1371" s="11" t="n"/>
      <c r="C1371" s="8">
        <f>pinyin(B1403)</f>
        <v/>
      </c>
      <c r="E1371" s="8">
        <f>IFERROR(__xludf.DUMMYFUNCTION("GOOGLETRANSLATE(B1403, ""zh"", ""vi"")"),"#VALUE!")</f>
        <v/>
      </c>
      <c r="H1371" s="9">
        <f>G1403=B1403</f>
        <v/>
      </c>
    </row>
    <row r="1372">
      <c r="B1372" s="11" t="n"/>
      <c r="C1372" s="8">
        <f>pinyin(B1404)</f>
        <v/>
      </c>
      <c r="E1372" s="8">
        <f>IFERROR(__xludf.DUMMYFUNCTION("GOOGLETRANSLATE(B1404, ""zh"", ""vi"")"),"#VALUE!")</f>
        <v/>
      </c>
      <c r="H1372" s="9">
        <f>G1404=B1404</f>
        <v/>
      </c>
    </row>
    <row r="1373">
      <c r="B1373" s="11" t="n"/>
      <c r="C1373" s="8">
        <f>pinyin(B1405)</f>
        <v/>
      </c>
      <c r="E1373" s="8">
        <f>IFERROR(__xludf.DUMMYFUNCTION("GOOGLETRANSLATE(B1405, ""zh"", ""vi"")"),"#VALUE!")</f>
        <v/>
      </c>
      <c r="H1373" s="9">
        <f>G1405=B1405</f>
        <v/>
      </c>
    </row>
    <row r="1374">
      <c r="B1374" s="11" t="n"/>
      <c r="C1374" s="8">
        <f>pinyin(B1406)</f>
        <v/>
      </c>
      <c r="E1374" s="8">
        <f>IFERROR(__xludf.DUMMYFUNCTION("GOOGLETRANSLATE(B1406, ""zh"", ""vi"")"),"#VALUE!")</f>
        <v/>
      </c>
      <c r="H1374" s="9">
        <f>G1406=B1406</f>
        <v/>
      </c>
    </row>
    <row r="1375">
      <c r="B1375" s="11" t="n"/>
      <c r="C1375" s="8">
        <f>pinyin(B1407)</f>
        <v/>
      </c>
      <c r="E1375" s="8">
        <f>IFERROR(__xludf.DUMMYFUNCTION("GOOGLETRANSLATE(B1407, ""zh"", ""vi"")"),"#VALUE!")</f>
        <v/>
      </c>
      <c r="H1375" s="9">
        <f>G1407=B1407</f>
        <v/>
      </c>
    </row>
    <row r="1376">
      <c r="B1376" s="11" t="n"/>
      <c r="C1376" s="8">
        <f>pinyin(B1408)</f>
        <v/>
      </c>
      <c r="E1376" s="8">
        <f>IFERROR(__xludf.DUMMYFUNCTION("GOOGLETRANSLATE(B1408, ""zh"", ""vi"")"),"#VALUE!")</f>
        <v/>
      </c>
      <c r="H1376" s="9">
        <f>G1408=B1408</f>
        <v/>
      </c>
    </row>
    <row r="1377">
      <c r="B1377" s="11" t="n"/>
      <c r="C1377" s="8">
        <f>pinyin(B1409)</f>
        <v/>
      </c>
      <c r="E1377" s="8">
        <f>IFERROR(__xludf.DUMMYFUNCTION("GOOGLETRANSLATE(B1409, ""zh"", ""vi"")"),"#VALUE!")</f>
        <v/>
      </c>
      <c r="H1377" s="9">
        <f>G1409=B1409</f>
        <v/>
      </c>
    </row>
    <row r="1378">
      <c r="B1378" s="11" t="n"/>
      <c r="C1378" s="8">
        <f>pinyin(B1410)</f>
        <v/>
      </c>
      <c r="E1378" s="8">
        <f>IFERROR(__xludf.DUMMYFUNCTION("GOOGLETRANSLATE(B1410, ""zh"", ""vi"")"),"#VALUE!")</f>
        <v/>
      </c>
      <c r="H1378" s="9">
        <f>G1410=B1410</f>
        <v/>
      </c>
    </row>
    <row r="1379">
      <c r="B1379" s="11" t="n"/>
      <c r="C1379" s="8">
        <f>pinyin(B1411)</f>
        <v/>
      </c>
      <c r="E1379" s="8">
        <f>IFERROR(__xludf.DUMMYFUNCTION("GOOGLETRANSLATE(B1411, ""zh"", ""vi"")"),"#VALUE!")</f>
        <v/>
      </c>
      <c r="H1379" s="9">
        <f>G1411=B1411</f>
        <v/>
      </c>
    </row>
    <row r="1380">
      <c r="B1380" s="11" t="n"/>
      <c r="C1380" s="8">
        <f>pinyin(B1412)</f>
        <v/>
      </c>
      <c r="E1380" s="8">
        <f>IFERROR(__xludf.DUMMYFUNCTION("GOOGLETRANSLATE(B1412, ""zh"", ""vi"")"),"#VALUE!")</f>
        <v/>
      </c>
      <c r="H1380" s="9">
        <f>G1412=B1412</f>
        <v/>
      </c>
    </row>
    <row r="1381">
      <c r="B1381" s="11" t="n"/>
      <c r="C1381" s="8">
        <f>pinyin(B1413)</f>
        <v/>
      </c>
      <c r="E1381" s="8">
        <f>IFERROR(__xludf.DUMMYFUNCTION("GOOGLETRANSLATE(B1413, ""zh"", ""vi"")"),"#VALUE!")</f>
        <v/>
      </c>
      <c r="H1381" s="9">
        <f>G1413=B1413</f>
        <v/>
      </c>
    </row>
    <row r="1382">
      <c r="B1382" s="11" t="n"/>
      <c r="C1382" s="8">
        <f>pinyin(B1414)</f>
        <v/>
      </c>
      <c r="E1382" s="8">
        <f>IFERROR(__xludf.DUMMYFUNCTION("GOOGLETRANSLATE(B1414, ""zh"", ""vi"")"),"#VALUE!")</f>
        <v/>
      </c>
      <c r="H1382" s="9">
        <f>G1414=B1414</f>
        <v/>
      </c>
    </row>
    <row r="1383">
      <c r="B1383" s="11" t="n"/>
      <c r="C1383" s="8">
        <f>pinyin(B1415)</f>
        <v/>
      </c>
      <c r="E1383" s="8">
        <f>IFERROR(__xludf.DUMMYFUNCTION("GOOGLETRANSLATE(B1415, ""zh"", ""vi"")"),"#VALUE!")</f>
        <v/>
      </c>
      <c r="H1383" s="9">
        <f>G1415=B1415</f>
        <v/>
      </c>
    </row>
    <row r="1384">
      <c r="B1384" s="11" t="n"/>
      <c r="C1384" s="8">
        <f>pinyin(B1416)</f>
        <v/>
      </c>
      <c r="E1384" s="8">
        <f>IFERROR(__xludf.DUMMYFUNCTION("GOOGLETRANSLATE(B1416, ""zh"", ""vi"")"),"#VALUE!")</f>
        <v/>
      </c>
      <c r="H1384" s="9">
        <f>G1416=B1416</f>
        <v/>
      </c>
    </row>
    <row r="1385">
      <c r="B1385" s="11" t="n"/>
      <c r="C1385" s="8">
        <f>pinyin(B1417)</f>
        <v/>
      </c>
      <c r="E1385" s="8">
        <f>IFERROR(__xludf.DUMMYFUNCTION("GOOGLETRANSLATE(B1417, ""zh"", ""vi"")"),"#VALUE!")</f>
        <v/>
      </c>
      <c r="H1385" s="9">
        <f>G1417=B1417</f>
        <v/>
      </c>
    </row>
    <row r="1386">
      <c r="B1386" s="11" t="n"/>
      <c r="C1386" s="8">
        <f>pinyin(B1418)</f>
        <v/>
      </c>
      <c r="E1386" s="8">
        <f>IFERROR(__xludf.DUMMYFUNCTION("GOOGLETRANSLATE(B1418, ""zh"", ""vi"")"),"#VALUE!")</f>
        <v/>
      </c>
      <c r="H1386" s="9">
        <f>G1418=B1418</f>
        <v/>
      </c>
    </row>
    <row r="1387">
      <c r="B1387" s="11" t="n"/>
      <c r="C1387" s="8">
        <f>pinyin(B1419)</f>
        <v/>
      </c>
      <c r="E1387" s="8">
        <f>IFERROR(__xludf.DUMMYFUNCTION("GOOGLETRANSLATE(B1419, ""zh"", ""vi"")"),"#VALUE!")</f>
        <v/>
      </c>
      <c r="H1387" s="9">
        <f>G1419=B1419</f>
        <v/>
      </c>
    </row>
    <row r="1388">
      <c r="B1388" s="11" t="n"/>
      <c r="C1388" s="8">
        <f>pinyin(B1420)</f>
        <v/>
      </c>
      <c r="E1388" s="8">
        <f>IFERROR(__xludf.DUMMYFUNCTION("GOOGLETRANSLATE(B1420, ""zh"", ""vi"")"),"#VALUE!")</f>
        <v/>
      </c>
      <c r="H1388" s="9">
        <f>G1420=B1420</f>
        <v/>
      </c>
    </row>
    <row r="1389">
      <c r="B1389" s="11" t="n"/>
      <c r="C1389" s="8">
        <f>pinyin(B1421)</f>
        <v/>
      </c>
      <c r="E1389" s="8">
        <f>IFERROR(__xludf.DUMMYFUNCTION("GOOGLETRANSLATE(B1421, ""zh"", ""vi"")"),"#VALUE!")</f>
        <v/>
      </c>
      <c r="H1389" s="9">
        <f>G1421=B1421</f>
        <v/>
      </c>
    </row>
    <row r="1390">
      <c r="B1390" s="11" t="n"/>
      <c r="C1390" s="8">
        <f>pinyin(B1422)</f>
        <v/>
      </c>
      <c r="E1390" s="8">
        <f>IFERROR(__xludf.DUMMYFUNCTION("GOOGLETRANSLATE(B1422, ""zh"", ""vi"")"),"#VALUE!")</f>
        <v/>
      </c>
      <c r="H1390" s="9">
        <f>G1422=B1422</f>
        <v/>
      </c>
    </row>
    <row r="1391">
      <c r="B1391" s="11" t="n"/>
      <c r="C1391" s="8">
        <f>pinyin(B1423)</f>
        <v/>
      </c>
      <c r="E1391" s="8">
        <f>IFERROR(__xludf.DUMMYFUNCTION("GOOGLETRANSLATE(B1423, ""zh"", ""vi"")"),"#VALUE!")</f>
        <v/>
      </c>
      <c r="H1391" s="9">
        <f>G1423=B1423</f>
        <v/>
      </c>
    </row>
    <row r="1392">
      <c r="B1392" s="11" t="n"/>
      <c r="C1392" s="8">
        <f>pinyin(B1424)</f>
        <v/>
      </c>
      <c r="E1392" s="8">
        <f>IFERROR(__xludf.DUMMYFUNCTION("GOOGLETRANSLATE(B1424, ""zh"", ""vi"")"),"#VALUE!")</f>
        <v/>
      </c>
      <c r="H1392" s="9">
        <f>G1424=B1424</f>
        <v/>
      </c>
    </row>
    <row r="1393">
      <c r="B1393" s="11" t="n"/>
      <c r="C1393" s="8">
        <f>pinyin(B1425)</f>
        <v/>
      </c>
      <c r="E1393" s="8">
        <f>IFERROR(__xludf.DUMMYFUNCTION("GOOGLETRANSLATE(B1425, ""zh"", ""vi"")"),"#VALUE!")</f>
        <v/>
      </c>
      <c r="H1393" s="9">
        <f>G1425=B1425</f>
        <v/>
      </c>
    </row>
    <row r="1394">
      <c r="B1394" s="11" t="n"/>
      <c r="C1394" s="8">
        <f>pinyin(B1426)</f>
        <v/>
      </c>
      <c r="E1394" s="8">
        <f>IFERROR(__xludf.DUMMYFUNCTION("GOOGLETRANSLATE(B1426, ""zh"", ""vi"")"),"#VALUE!")</f>
        <v/>
      </c>
      <c r="H1394" s="9">
        <f>G1426=B1426</f>
        <v/>
      </c>
    </row>
    <row r="1395">
      <c r="B1395" s="11" t="n"/>
      <c r="C1395" s="8">
        <f>pinyin(B1427)</f>
        <v/>
      </c>
      <c r="E1395" s="8">
        <f>IFERROR(__xludf.DUMMYFUNCTION("GOOGLETRANSLATE(B1427, ""zh"", ""vi"")"),"#VALUE!")</f>
        <v/>
      </c>
      <c r="H1395" s="9">
        <f>G1427=B1427</f>
        <v/>
      </c>
    </row>
    <row r="1396">
      <c r="B1396" s="11" t="n"/>
      <c r="C1396" s="8">
        <f>pinyin(B1428)</f>
        <v/>
      </c>
      <c r="E1396" s="8">
        <f>IFERROR(__xludf.DUMMYFUNCTION("GOOGLETRANSLATE(B1428, ""zh"", ""vi"")"),"#VALUE!")</f>
        <v/>
      </c>
      <c r="H1396" s="9">
        <f>G1428=B1428</f>
        <v/>
      </c>
    </row>
    <row r="1397">
      <c r="B1397" s="11" t="n"/>
      <c r="C1397" s="8">
        <f>pinyin(B1429)</f>
        <v/>
      </c>
      <c r="E1397" s="8">
        <f>IFERROR(__xludf.DUMMYFUNCTION("GOOGLETRANSLATE(B1429, ""zh"", ""vi"")"),"#VALUE!")</f>
        <v/>
      </c>
      <c r="H1397" s="9">
        <f>G1429=B1429</f>
        <v/>
      </c>
    </row>
    <row r="1398">
      <c r="B1398" s="11" t="n"/>
      <c r="C1398" s="8">
        <f>pinyin(B1430)</f>
        <v/>
      </c>
      <c r="E1398" s="8">
        <f>IFERROR(__xludf.DUMMYFUNCTION("GOOGLETRANSLATE(B1430, ""zh"", ""vi"")"),"#VALUE!")</f>
        <v/>
      </c>
      <c r="H1398" s="9">
        <f>G1430=B1430</f>
        <v/>
      </c>
    </row>
    <row r="1399">
      <c r="B1399" s="11" t="n"/>
      <c r="C1399" s="8">
        <f>pinyin(B1431)</f>
        <v/>
      </c>
      <c r="E1399" s="8">
        <f>IFERROR(__xludf.DUMMYFUNCTION("GOOGLETRANSLATE(B1431, ""zh"", ""vi"")"),"#VALUE!")</f>
        <v/>
      </c>
      <c r="H1399" s="9">
        <f>G1431=B1431</f>
        <v/>
      </c>
    </row>
    <row r="1400">
      <c r="B1400" s="11" t="n"/>
      <c r="C1400" s="8">
        <f>pinyin(B1432)</f>
        <v/>
      </c>
      <c r="E1400" s="8">
        <f>IFERROR(__xludf.DUMMYFUNCTION("GOOGLETRANSLATE(B1432, ""zh"", ""vi"")"),"#VALUE!")</f>
        <v/>
      </c>
      <c r="H1400" s="9">
        <f>G1432=B1432</f>
        <v/>
      </c>
    </row>
    <row r="1401">
      <c r="B1401" s="11" t="n"/>
      <c r="C1401" s="8">
        <f>pinyin(B1433)</f>
        <v/>
      </c>
      <c r="E1401" s="8">
        <f>IFERROR(__xludf.DUMMYFUNCTION("GOOGLETRANSLATE(B1433, ""zh"", ""vi"")"),"#VALUE!")</f>
        <v/>
      </c>
      <c r="H1401" s="9">
        <f>G1433=B1433</f>
        <v/>
      </c>
    </row>
    <row r="1402">
      <c r="B1402" s="11" t="n"/>
      <c r="C1402" s="8">
        <f>pinyin(B1434)</f>
        <v/>
      </c>
      <c r="E1402" s="8">
        <f>IFERROR(__xludf.DUMMYFUNCTION("GOOGLETRANSLATE(B1434, ""zh"", ""vi"")"),"#VALUE!")</f>
        <v/>
      </c>
      <c r="H1402" s="9">
        <f>G1434=B1434</f>
        <v/>
      </c>
    </row>
    <row r="1403">
      <c r="B1403" s="11" t="n"/>
      <c r="C1403" s="8">
        <f>pinyin(B1435)</f>
        <v/>
      </c>
      <c r="E1403" s="8">
        <f>IFERROR(__xludf.DUMMYFUNCTION("GOOGLETRANSLATE(B1435, ""zh"", ""vi"")"),"#VALUE!")</f>
        <v/>
      </c>
      <c r="H1403" s="9">
        <f>G1435=B1435</f>
        <v/>
      </c>
    </row>
    <row r="1404">
      <c r="B1404" s="11" t="n"/>
      <c r="C1404" s="8">
        <f>pinyin(B1436)</f>
        <v/>
      </c>
      <c r="E1404" s="8">
        <f>IFERROR(__xludf.DUMMYFUNCTION("GOOGLETRANSLATE(B1436, ""zh"", ""vi"")"),"#VALUE!")</f>
        <v/>
      </c>
      <c r="H1404" s="9">
        <f>G1436=B1436</f>
        <v/>
      </c>
    </row>
    <row r="1405">
      <c r="B1405" s="11" t="n"/>
      <c r="C1405" s="8">
        <f>pinyin(B1437)</f>
        <v/>
      </c>
      <c r="E1405" s="8">
        <f>IFERROR(__xludf.DUMMYFUNCTION("GOOGLETRANSLATE(B1437, ""zh"", ""vi"")"),"#VALUE!")</f>
        <v/>
      </c>
      <c r="H1405" s="9">
        <f>G1437=B1437</f>
        <v/>
      </c>
    </row>
    <row r="1406">
      <c r="B1406" s="11" t="n"/>
      <c r="C1406" s="8">
        <f>pinyin(B1438)</f>
        <v/>
      </c>
      <c r="E1406" s="8">
        <f>IFERROR(__xludf.DUMMYFUNCTION("GOOGLETRANSLATE(B1438, ""zh"", ""vi"")"),"#VALUE!")</f>
        <v/>
      </c>
      <c r="H1406" s="9">
        <f>G1438=B1438</f>
        <v/>
      </c>
    </row>
    <row r="1407">
      <c r="B1407" s="11" t="n"/>
      <c r="C1407" s="8">
        <f>pinyin(B1439)</f>
        <v/>
      </c>
      <c r="E1407" s="8">
        <f>IFERROR(__xludf.DUMMYFUNCTION("GOOGLETRANSLATE(B1439, ""zh"", ""vi"")"),"#VALUE!")</f>
        <v/>
      </c>
      <c r="H1407" s="9">
        <f>G1439=B1439</f>
        <v/>
      </c>
    </row>
    <row r="1408">
      <c r="B1408" s="11" t="n"/>
      <c r="C1408" s="8">
        <f>pinyin(B1440)</f>
        <v/>
      </c>
      <c r="E1408" s="8">
        <f>IFERROR(__xludf.DUMMYFUNCTION("GOOGLETRANSLATE(B1440, ""zh"", ""vi"")"),"#VALUE!")</f>
        <v/>
      </c>
      <c r="H1408" s="9">
        <f>G1440=B1440</f>
        <v/>
      </c>
    </row>
    <row r="1409">
      <c r="B1409" s="11" t="n"/>
      <c r="C1409" s="8">
        <f>pinyin(B1441)</f>
        <v/>
      </c>
      <c r="E1409" s="8">
        <f>IFERROR(__xludf.DUMMYFUNCTION("GOOGLETRANSLATE(B1441, ""zh"", ""vi"")"),"#VALUE!")</f>
        <v/>
      </c>
      <c r="H1409" s="9">
        <f>G1441=B1441</f>
        <v/>
      </c>
    </row>
    <row r="1410">
      <c r="B1410" s="11" t="n"/>
      <c r="C1410" s="8">
        <f>pinyin(B1442)</f>
        <v/>
      </c>
      <c r="E1410" s="8">
        <f>IFERROR(__xludf.DUMMYFUNCTION("GOOGLETRANSLATE(B1442, ""zh"", ""vi"")"),"#VALUE!")</f>
        <v/>
      </c>
      <c r="H1410" s="9">
        <f>G1442=B1442</f>
        <v/>
      </c>
    </row>
    <row r="1411">
      <c r="B1411" s="11" t="n"/>
      <c r="C1411" s="8">
        <f>pinyin(B1443)</f>
        <v/>
      </c>
      <c r="E1411" s="8">
        <f>IFERROR(__xludf.DUMMYFUNCTION("GOOGLETRANSLATE(B1443, ""zh"", ""vi"")"),"#VALUE!")</f>
        <v/>
      </c>
      <c r="H1411" s="9">
        <f>G1443=B1443</f>
        <v/>
      </c>
    </row>
    <row r="1412">
      <c r="B1412" s="11" t="n"/>
      <c r="C1412" s="8">
        <f>pinyin(B1444)</f>
        <v/>
      </c>
      <c r="E1412" s="8">
        <f>IFERROR(__xludf.DUMMYFUNCTION("GOOGLETRANSLATE(B1444, ""zh"", ""vi"")"),"#VALUE!")</f>
        <v/>
      </c>
      <c r="H1412" s="9">
        <f>G1444=B1444</f>
        <v/>
      </c>
    </row>
    <row r="1413">
      <c r="B1413" s="11" t="n"/>
      <c r="C1413" s="8">
        <f>pinyin(B1445)</f>
        <v/>
      </c>
      <c r="E1413" s="8">
        <f>IFERROR(__xludf.DUMMYFUNCTION("GOOGLETRANSLATE(B1445, ""zh"", ""vi"")"),"#VALUE!")</f>
        <v/>
      </c>
      <c r="H1413" s="9">
        <f>G1445=B1445</f>
        <v/>
      </c>
    </row>
    <row r="1414">
      <c r="B1414" s="11" t="n"/>
      <c r="C1414" s="8">
        <f>pinyin(B1446)</f>
        <v/>
      </c>
      <c r="E1414" s="8">
        <f>IFERROR(__xludf.DUMMYFUNCTION("GOOGLETRANSLATE(B1446, ""zh"", ""vi"")"),"#VALUE!")</f>
        <v/>
      </c>
      <c r="H1414" s="9">
        <f>G1446=B1446</f>
        <v/>
      </c>
    </row>
    <row r="1415">
      <c r="B1415" s="11" t="n"/>
      <c r="C1415" s="8">
        <f>pinyin(B1447)</f>
        <v/>
      </c>
      <c r="E1415" s="8">
        <f>IFERROR(__xludf.DUMMYFUNCTION("GOOGLETRANSLATE(B1447, ""zh"", ""vi"")"),"#VALUE!")</f>
        <v/>
      </c>
      <c r="H1415" s="9">
        <f>G1447=B1447</f>
        <v/>
      </c>
    </row>
    <row r="1416">
      <c r="B1416" s="11" t="n"/>
      <c r="C1416" s="8">
        <f>pinyin(B1448)</f>
        <v/>
      </c>
      <c r="E1416" s="8">
        <f>IFERROR(__xludf.DUMMYFUNCTION("GOOGLETRANSLATE(B1448, ""zh"", ""vi"")"),"#VALUE!")</f>
        <v/>
      </c>
      <c r="H1416" s="9">
        <f>G1448=B1448</f>
        <v/>
      </c>
    </row>
    <row r="1417">
      <c r="B1417" s="11" t="n"/>
      <c r="C1417" s="8">
        <f>pinyin(B1449)</f>
        <v/>
      </c>
      <c r="E1417" s="8">
        <f>IFERROR(__xludf.DUMMYFUNCTION("GOOGLETRANSLATE(B1449, ""zh"", ""vi"")"),"#VALUE!")</f>
        <v/>
      </c>
      <c r="H1417" s="9">
        <f>G1449=B1449</f>
        <v/>
      </c>
    </row>
    <row r="1418">
      <c r="B1418" s="11" t="n"/>
      <c r="C1418" s="8">
        <f>pinyin(B1450)</f>
        <v/>
      </c>
      <c r="E1418" s="8">
        <f>IFERROR(__xludf.DUMMYFUNCTION("GOOGLETRANSLATE(B1450, ""zh"", ""vi"")"),"#VALUE!")</f>
        <v/>
      </c>
      <c r="H1418" s="9">
        <f>G1450=B1450</f>
        <v/>
      </c>
    </row>
    <row r="1419">
      <c r="B1419" s="11" t="n"/>
      <c r="C1419" s="8">
        <f>pinyin(B1451)</f>
        <v/>
      </c>
      <c r="E1419" s="8">
        <f>IFERROR(__xludf.DUMMYFUNCTION("GOOGLETRANSLATE(B1451, ""zh"", ""vi"")"),"#VALUE!")</f>
        <v/>
      </c>
      <c r="H1419" s="9">
        <f>G1451=B1451</f>
        <v/>
      </c>
    </row>
    <row r="1420">
      <c r="B1420" s="11" t="n"/>
      <c r="C1420" s="8">
        <f>pinyin(B1452)</f>
        <v/>
      </c>
      <c r="E1420" s="8">
        <f>IFERROR(__xludf.DUMMYFUNCTION("GOOGLETRANSLATE(B1452, ""zh"", ""vi"")"),"#VALUE!")</f>
        <v/>
      </c>
      <c r="H1420" s="9">
        <f>G1452=B1452</f>
        <v/>
      </c>
    </row>
    <row r="1421">
      <c r="B1421" s="11" t="n"/>
      <c r="C1421" s="8">
        <f>pinyin(B1453)</f>
        <v/>
      </c>
      <c r="E1421" s="8">
        <f>IFERROR(__xludf.DUMMYFUNCTION("GOOGLETRANSLATE(B1453, ""zh"", ""vi"")"),"#VALUE!")</f>
        <v/>
      </c>
      <c r="H1421" s="9">
        <f>G1453=B1453</f>
        <v/>
      </c>
    </row>
    <row r="1422">
      <c r="B1422" s="11" t="n"/>
      <c r="C1422" s="8">
        <f>pinyin(B1454)</f>
        <v/>
      </c>
      <c r="E1422" s="8">
        <f>IFERROR(__xludf.DUMMYFUNCTION("GOOGLETRANSLATE(B1454, ""zh"", ""vi"")"),"#VALUE!")</f>
        <v/>
      </c>
      <c r="H1422" s="9">
        <f>G1454=B1454</f>
        <v/>
      </c>
    </row>
    <row r="1423">
      <c r="B1423" s="11" t="n"/>
      <c r="C1423" s="8">
        <f>pinyin(B1455)</f>
        <v/>
      </c>
      <c r="E1423" s="8">
        <f>IFERROR(__xludf.DUMMYFUNCTION("GOOGLETRANSLATE(B1455, ""zh"", ""vi"")"),"#VALUE!")</f>
        <v/>
      </c>
      <c r="H1423" s="9">
        <f>G1455=B1455</f>
        <v/>
      </c>
    </row>
    <row r="1424">
      <c r="B1424" s="11" t="n"/>
      <c r="C1424" s="8">
        <f>pinyin(B1456)</f>
        <v/>
      </c>
      <c r="E1424" s="8">
        <f>IFERROR(__xludf.DUMMYFUNCTION("GOOGLETRANSLATE(B1456, ""zh"", ""vi"")"),"#VALUE!")</f>
        <v/>
      </c>
      <c r="H1424" s="9">
        <f>G1456=B1456</f>
        <v/>
      </c>
    </row>
    <row r="1425">
      <c r="B1425" s="11" t="n"/>
      <c r="C1425" s="8">
        <f>pinyin(B1457)</f>
        <v/>
      </c>
      <c r="E1425" s="8">
        <f>IFERROR(__xludf.DUMMYFUNCTION("GOOGLETRANSLATE(B1457, ""zh"", ""vi"")"),"#VALUE!")</f>
        <v/>
      </c>
      <c r="H1425" s="9">
        <f>G1457=B1457</f>
        <v/>
      </c>
    </row>
    <row r="1426">
      <c r="B1426" s="11" t="n"/>
      <c r="C1426" s="8">
        <f>pinyin(B1458)</f>
        <v/>
      </c>
      <c r="E1426" s="8">
        <f>IFERROR(__xludf.DUMMYFUNCTION("GOOGLETRANSLATE(B1458, ""zh"", ""vi"")"),"#VALUE!")</f>
        <v/>
      </c>
      <c r="H1426" s="9">
        <f>G1458=B1458</f>
        <v/>
      </c>
    </row>
    <row r="1427">
      <c r="B1427" s="11" t="n"/>
      <c r="C1427" s="8">
        <f>pinyin(B1459)</f>
        <v/>
      </c>
      <c r="E1427" s="8">
        <f>IFERROR(__xludf.DUMMYFUNCTION("GOOGLETRANSLATE(B1459, ""zh"", ""vi"")"),"#VALUE!")</f>
        <v/>
      </c>
      <c r="H1427" s="9">
        <f>G1459=B1459</f>
        <v/>
      </c>
    </row>
    <row r="1428">
      <c r="B1428" s="11" t="n"/>
      <c r="C1428" s="8">
        <f>pinyin(B1460)</f>
        <v/>
      </c>
      <c r="E1428" s="8">
        <f>IFERROR(__xludf.DUMMYFUNCTION("GOOGLETRANSLATE(B1460, ""zh"", ""vi"")"),"#VALUE!")</f>
        <v/>
      </c>
      <c r="H1428" s="9">
        <f>G1460=B1460</f>
        <v/>
      </c>
    </row>
    <row r="1429">
      <c r="B1429" s="11" t="n"/>
      <c r="C1429" s="8">
        <f>pinyin(B1461)</f>
        <v/>
      </c>
      <c r="E1429" s="8">
        <f>IFERROR(__xludf.DUMMYFUNCTION("GOOGLETRANSLATE(B1461, ""zh"", ""vi"")"),"#VALUE!")</f>
        <v/>
      </c>
      <c r="H1429" s="9">
        <f>G1461=B1461</f>
        <v/>
      </c>
    </row>
    <row r="1430">
      <c r="B1430" s="11" t="n"/>
      <c r="C1430" s="8">
        <f>pinyin(B1462)</f>
        <v/>
      </c>
      <c r="E1430" s="8">
        <f>IFERROR(__xludf.DUMMYFUNCTION("GOOGLETRANSLATE(B1462, ""zh"", ""vi"")"),"#VALUE!")</f>
        <v/>
      </c>
      <c r="H1430" s="9">
        <f>G1462=B1462</f>
        <v/>
      </c>
    </row>
    <row r="1431">
      <c r="B1431" s="11" t="n"/>
      <c r="C1431" s="8">
        <f>pinyin(B1463)</f>
        <v/>
      </c>
      <c r="E1431" s="8">
        <f>IFERROR(__xludf.DUMMYFUNCTION("GOOGLETRANSLATE(B1463, ""zh"", ""vi"")"),"#VALUE!")</f>
        <v/>
      </c>
      <c r="H1431" s="9">
        <f>G1463=B1463</f>
        <v/>
      </c>
    </row>
    <row r="1432">
      <c r="B1432" s="11" t="n"/>
      <c r="C1432" s="8">
        <f>pinyin(B1464)</f>
        <v/>
      </c>
      <c r="E1432" s="8">
        <f>IFERROR(__xludf.DUMMYFUNCTION("GOOGLETRANSLATE(B1464, ""zh"", ""vi"")"),"#VALUE!")</f>
        <v/>
      </c>
      <c r="H1432" s="9">
        <f>G1464=B1464</f>
        <v/>
      </c>
    </row>
    <row r="1433">
      <c r="B1433" s="11" t="n"/>
      <c r="C1433" s="8">
        <f>pinyin(B1465)</f>
        <v/>
      </c>
      <c r="E1433" s="8">
        <f>IFERROR(__xludf.DUMMYFUNCTION("GOOGLETRANSLATE(B1465, ""zh"", ""vi"")"),"#VALUE!")</f>
        <v/>
      </c>
      <c r="H1433" s="9">
        <f>G1465=B1465</f>
        <v/>
      </c>
    </row>
    <row r="1434">
      <c r="B1434" s="11" t="n"/>
      <c r="C1434" s="8">
        <f>pinyin(B1466)</f>
        <v/>
      </c>
      <c r="E1434" s="8">
        <f>IFERROR(__xludf.DUMMYFUNCTION("GOOGLETRANSLATE(B1466, ""zh"", ""vi"")"),"#VALUE!")</f>
        <v/>
      </c>
      <c r="H1434" s="9">
        <f>G1466=B1466</f>
        <v/>
      </c>
    </row>
    <row r="1435">
      <c r="B1435" s="11" t="n"/>
      <c r="C1435" s="8">
        <f>pinyin(B1467)</f>
        <v/>
      </c>
      <c r="E1435" s="8">
        <f>IFERROR(__xludf.DUMMYFUNCTION("GOOGLETRANSLATE(B1467, ""zh"", ""vi"")"),"#VALUE!")</f>
        <v/>
      </c>
      <c r="H1435" s="9">
        <f>G1467=B1467</f>
        <v/>
      </c>
    </row>
    <row r="1436">
      <c r="B1436" s="11" t="n"/>
      <c r="C1436" s="8">
        <f>pinyin(B1468)</f>
        <v/>
      </c>
      <c r="E1436" s="8">
        <f>IFERROR(__xludf.DUMMYFUNCTION("GOOGLETRANSLATE(B1468, ""zh"", ""vi"")"),"#VALUE!")</f>
        <v/>
      </c>
      <c r="H1436" s="9">
        <f>G1468=B1468</f>
        <v/>
      </c>
    </row>
    <row r="1437">
      <c r="B1437" s="11" t="n"/>
      <c r="C1437" s="8">
        <f>pinyin(B1469)</f>
        <v/>
      </c>
      <c r="E1437" s="8">
        <f>IFERROR(__xludf.DUMMYFUNCTION("GOOGLETRANSLATE(B1469, ""zh"", ""vi"")"),"#VALUE!")</f>
        <v/>
      </c>
      <c r="H1437" s="9">
        <f>G1469=B1469</f>
        <v/>
      </c>
    </row>
    <row r="1438">
      <c r="B1438" s="11" t="n"/>
      <c r="C1438" s="8">
        <f>pinyin(B1470)</f>
        <v/>
      </c>
      <c r="E1438" s="8">
        <f>IFERROR(__xludf.DUMMYFUNCTION("GOOGLETRANSLATE(B1470, ""zh"", ""vi"")"),"#VALUE!")</f>
        <v/>
      </c>
      <c r="H1438" s="9">
        <f>G1470=B1470</f>
        <v/>
      </c>
    </row>
    <row r="1439">
      <c r="B1439" s="11" t="n"/>
      <c r="C1439" s="8">
        <f>pinyin(B1471)</f>
        <v/>
      </c>
      <c r="E1439" s="8">
        <f>IFERROR(__xludf.DUMMYFUNCTION("GOOGLETRANSLATE(B1471, ""zh"", ""vi"")"),"#VALUE!")</f>
        <v/>
      </c>
      <c r="H1439" s="9">
        <f>G1471=B1471</f>
        <v/>
      </c>
    </row>
    <row r="1440">
      <c r="B1440" s="11" t="n"/>
      <c r="C1440" s="8">
        <f>pinyin(B1472)</f>
        <v/>
      </c>
      <c r="E1440" s="8">
        <f>IFERROR(__xludf.DUMMYFUNCTION("GOOGLETRANSLATE(B1472, ""zh"", ""vi"")"),"#VALUE!")</f>
        <v/>
      </c>
      <c r="H1440" s="9">
        <f>G1472=B1472</f>
        <v/>
      </c>
    </row>
    <row r="1441">
      <c r="B1441" s="11" t="n"/>
      <c r="C1441" s="8">
        <f>pinyin(B1473)</f>
        <v/>
      </c>
      <c r="E1441" s="8">
        <f>IFERROR(__xludf.DUMMYFUNCTION("GOOGLETRANSLATE(B1473, ""zh"", ""vi"")"),"#VALUE!")</f>
        <v/>
      </c>
      <c r="H1441" s="9">
        <f>G1473=B1473</f>
        <v/>
      </c>
    </row>
    <row r="1442">
      <c r="B1442" s="11" t="n"/>
      <c r="C1442" s="8">
        <f>pinyin(B1474)</f>
        <v/>
      </c>
      <c r="E1442" s="8">
        <f>IFERROR(__xludf.DUMMYFUNCTION("GOOGLETRANSLATE(B1474, ""zh"", ""vi"")"),"#VALUE!")</f>
        <v/>
      </c>
      <c r="H1442" s="9">
        <f>G1474=B1474</f>
        <v/>
      </c>
    </row>
    <row r="1443">
      <c r="B1443" s="11" t="n"/>
      <c r="C1443" s="8">
        <f>pinyin(B1475)</f>
        <v/>
      </c>
      <c r="E1443" s="8">
        <f>IFERROR(__xludf.DUMMYFUNCTION("GOOGLETRANSLATE(B1475, ""zh"", ""vi"")"),"#VALUE!")</f>
        <v/>
      </c>
      <c r="H1443" s="9">
        <f>G1475=B1475</f>
        <v/>
      </c>
    </row>
    <row r="1444">
      <c r="B1444" s="11" t="n"/>
      <c r="C1444" s="8">
        <f>pinyin(B1476)</f>
        <v/>
      </c>
      <c r="E1444" s="8">
        <f>IFERROR(__xludf.DUMMYFUNCTION("GOOGLETRANSLATE(B1476, ""zh"", ""vi"")"),"#VALUE!")</f>
        <v/>
      </c>
      <c r="H1444" s="9">
        <f>G1476=B1476</f>
        <v/>
      </c>
    </row>
    <row r="1445">
      <c r="B1445" s="11" t="n"/>
      <c r="C1445" s="8">
        <f>pinyin(B1477)</f>
        <v/>
      </c>
      <c r="E1445" s="8">
        <f>IFERROR(__xludf.DUMMYFUNCTION("GOOGLETRANSLATE(B1477, ""zh"", ""vi"")"),"#VALUE!")</f>
        <v/>
      </c>
      <c r="H1445" s="9">
        <f>G1477=B1477</f>
        <v/>
      </c>
    </row>
    <row r="1446">
      <c r="B1446" s="11" t="n"/>
      <c r="C1446" s="8">
        <f>pinyin(B1478)</f>
        <v/>
      </c>
      <c r="E1446" s="8">
        <f>IFERROR(__xludf.DUMMYFUNCTION("GOOGLETRANSLATE(B1478, ""zh"", ""vi"")"),"#VALUE!")</f>
        <v/>
      </c>
      <c r="H1446" s="9">
        <f>G1478=B1478</f>
        <v/>
      </c>
    </row>
    <row r="1447">
      <c r="B1447" s="11" t="n"/>
      <c r="C1447" s="8">
        <f>pinyin(B1479)</f>
        <v/>
      </c>
      <c r="E1447" s="8">
        <f>IFERROR(__xludf.DUMMYFUNCTION("GOOGLETRANSLATE(B1479, ""zh"", ""vi"")"),"#VALUE!")</f>
        <v/>
      </c>
      <c r="H1447" s="9">
        <f>G1479=B1479</f>
        <v/>
      </c>
    </row>
    <row r="1448">
      <c r="B1448" s="11" t="n"/>
      <c r="C1448" s="8">
        <f>pinyin(B1480)</f>
        <v/>
      </c>
      <c r="E1448" s="8">
        <f>IFERROR(__xludf.DUMMYFUNCTION("GOOGLETRANSLATE(B1480, ""zh"", ""vi"")"),"#VALUE!")</f>
        <v/>
      </c>
      <c r="H1448" s="9">
        <f>G1480=B1480</f>
        <v/>
      </c>
    </row>
    <row r="1449">
      <c r="B1449" s="11" t="n"/>
      <c r="C1449" s="8">
        <f>pinyin(B1481)</f>
        <v/>
      </c>
      <c r="E1449" s="8">
        <f>IFERROR(__xludf.DUMMYFUNCTION("GOOGLETRANSLATE(B1481, ""zh"", ""vi"")"),"#VALUE!")</f>
        <v/>
      </c>
      <c r="H1449" s="9">
        <f>G1481=B1481</f>
        <v/>
      </c>
    </row>
    <row r="1450">
      <c r="B1450" s="11" t="n"/>
      <c r="C1450" s="8">
        <f>pinyin(B1482)</f>
        <v/>
      </c>
      <c r="E1450" s="8">
        <f>IFERROR(__xludf.DUMMYFUNCTION("GOOGLETRANSLATE(B1482, ""zh"", ""vi"")"),"#VALUE!")</f>
        <v/>
      </c>
      <c r="H1450" s="9">
        <f>G1482=B1482</f>
        <v/>
      </c>
    </row>
    <row r="1451">
      <c r="B1451" s="11" t="n"/>
      <c r="C1451" s="8">
        <f>pinyin(B1483)</f>
        <v/>
      </c>
      <c r="E1451" s="8">
        <f>IFERROR(__xludf.DUMMYFUNCTION("GOOGLETRANSLATE(B1483, ""zh"", ""vi"")"),"#VALUE!")</f>
        <v/>
      </c>
      <c r="H1451" s="9">
        <f>G1483=B1483</f>
        <v/>
      </c>
    </row>
    <row r="1452">
      <c r="B1452" s="11" t="n"/>
      <c r="C1452" s="8">
        <f>pinyin(B1484)</f>
        <v/>
      </c>
      <c r="E1452" s="8">
        <f>IFERROR(__xludf.DUMMYFUNCTION("GOOGLETRANSLATE(B1484, ""zh"", ""vi"")"),"#VALUE!")</f>
        <v/>
      </c>
      <c r="H1452" s="9">
        <f>G1484=B1484</f>
        <v/>
      </c>
    </row>
    <row r="1453">
      <c r="B1453" s="11" t="n"/>
      <c r="C1453" s="8">
        <f>pinyin(B1485)</f>
        <v/>
      </c>
      <c r="E1453" s="8">
        <f>IFERROR(__xludf.DUMMYFUNCTION("GOOGLETRANSLATE(B1485, ""zh"", ""vi"")"),"#VALUE!")</f>
        <v/>
      </c>
      <c r="H1453" s="9">
        <f>G1485=B1485</f>
        <v/>
      </c>
    </row>
    <row r="1454">
      <c r="B1454" s="11" t="n"/>
      <c r="C1454" s="8">
        <f>pinyin(B1486)</f>
        <v/>
      </c>
      <c r="E1454" s="8">
        <f>IFERROR(__xludf.DUMMYFUNCTION("GOOGLETRANSLATE(B1486, ""zh"", ""vi"")"),"#VALUE!")</f>
        <v/>
      </c>
      <c r="H1454" s="9">
        <f>G1486=B1486</f>
        <v/>
      </c>
    </row>
    <row r="1455">
      <c r="B1455" s="11" t="n"/>
      <c r="C1455" s="8">
        <f>pinyin(B1487)</f>
        <v/>
      </c>
      <c r="E1455" s="8">
        <f>IFERROR(__xludf.DUMMYFUNCTION("GOOGLETRANSLATE(B1487, ""zh"", ""vi"")"),"#VALUE!")</f>
        <v/>
      </c>
      <c r="H1455" s="9">
        <f>G1487=B1487</f>
        <v/>
      </c>
    </row>
    <row r="1456">
      <c r="B1456" s="11" t="n"/>
      <c r="C1456" s="8">
        <f>pinyin(B1488)</f>
        <v/>
      </c>
      <c r="E1456" s="8">
        <f>IFERROR(__xludf.DUMMYFUNCTION("GOOGLETRANSLATE(B1488, ""zh"", ""vi"")"),"#VALUE!")</f>
        <v/>
      </c>
      <c r="H1456" s="9">
        <f>G1488=B1488</f>
        <v/>
      </c>
    </row>
    <row r="1457">
      <c r="B1457" s="11" t="n"/>
      <c r="C1457" s="8">
        <f>pinyin(B1489)</f>
        <v/>
      </c>
      <c r="E1457" s="8">
        <f>IFERROR(__xludf.DUMMYFUNCTION("GOOGLETRANSLATE(B1489, ""zh"", ""vi"")"),"#VALUE!")</f>
        <v/>
      </c>
      <c r="H1457" s="9">
        <f>G1489=B1489</f>
        <v/>
      </c>
    </row>
    <row r="1458">
      <c r="B1458" s="11" t="n"/>
      <c r="C1458" s="8">
        <f>pinyin(B1490)</f>
        <v/>
      </c>
      <c r="E1458" s="8">
        <f>IFERROR(__xludf.DUMMYFUNCTION("GOOGLETRANSLATE(B1490, ""zh"", ""vi"")"),"#VALUE!")</f>
        <v/>
      </c>
      <c r="H1458" s="9">
        <f>G1490=B1490</f>
        <v/>
      </c>
    </row>
    <row r="1459">
      <c r="B1459" s="11" t="n"/>
      <c r="C1459" s="8">
        <f>pinyin(B1491)</f>
        <v/>
      </c>
      <c r="E1459" s="8">
        <f>IFERROR(__xludf.DUMMYFUNCTION("GOOGLETRANSLATE(B1491, ""zh"", ""vi"")"),"#VALUE!")</f>
        <v/>
      </c>
      <c r="H1459" s="9">
        <f>G1491=B1491</f>
        <v/>
      </c>
    </row>
    <row r="1460">
      <c r="B1460" s="11" t="n"/>
      <c r="C1460" s="8">
        <f>pinyin(B1492)</f>
        <v/>
      </c>
      <c r="E1460" s="8">
        <f>IFERROR(__xludf.DUMMYFUNCTION("GOOGLETRANSLATE(B1492, ""zh"", ""vi"")"),"#VALUE!")</f>
        <v/>
      </c>
      <c r="H1460" s="9">
        <f>G1492=B1492</f>
        <v/>
      </c>
    </row>
    <row r="1461">
      <c r="B1461" s="11" t="n"/>
      <c r="C1461" s="8">
        <f>pinyin(B1493)</f>
        <v/>
      </c>
      <c r="E1461" s="8">
        <f>IFERROR(__xludf.DUMMYFUNCTION("GOOGLETRANSLATE(B1493, ""zh"", ""vi"")"),"#VALUE!")</f>
        <v/>
      </c>
      <c r="H1461" s="9">
        <f>G1493=B1493</f>
        <v/>
      </c>
    </row>
    <row r="1462">
      <c r="B1462" s="11" t="n"/>
      <c r="C1462" s="8">
        <f>pinyin(B1494)</f>
        <v/>
      </c>
      <c r="E1462" s="8">
        <f>IFERROR(__xludf.DUMMYFUNCTION("GOOGLETRANSLATE(B1494, ""zh"", ""vi"")"),"#VALUE!")</f>
        <v/>
      </c>
      <c r="H1462" s="9">
        <f>G1494=B1494</f>
        <v/>
      </c>
    </row>
    <row r="1463">
      <c r="B1463" s="11" t="n"/>
      <c r="C1463" s="8">
        <f>pinyin(B1495)</f>
        <v/>
      </c>
      <c r="E1463" s="8">
        <f>IFERROR(__xludf.DUMMYFUNCTION("GOOGLETRANSLATE(B1495, ""zh"", ""vi"")"),"#VALUE!")</f>
        <v/>
      </c>
      <c r="H1463" s="9">
        <f>G1495=B1495</f>
        <v/>
      </c>
    </row>
    <row r="1464">
      <c r="B1464" s="11" t="n"/>
      <c r="C1464" s="8">
        <f>pinyin(B1496)</f>
        <v/>
      </c>
      <c r="E1464" s="8">
        <f>IFERROR(__xludf.DUMMYFUNCTION("GOOGLETRANSLATE(B1496, ""zh"", ""vi"")"),"#VALUE!")</f>
        <v/>
      </c>
      <c r="H1464" s="9">
        <f>G1496=B1496</f>
        <v/>
      </c>
    </row>
    <row r="1465">
      <c r="B1465" s="11" t="n"/>
      <c r="C1465" s="8">
        <f>pinyin(B1497)</f>
        <v/>
      </c>
      <c r="E1465" s="8">
        <f>IFERROR(__xludf.DUMMYFUNCTION("GOOGLETRANSLATE(B1497, ""zh"", ""vi"")"),"#VALUE!")</f>
        <v/>
      </c>
      <c r="H1465" s="9">
        <f>G1497=B1497</f>
        <v/>
      </c>
    </row>
    <row r="1466">
      <c r="B1466" s="11" t="n"/>
      <c r="C1466" s="8">
        <f>pinyin(B1498)</f>
        <v/>
      </c>
      <c r="E1466" s="8">
        <f>IFERROR(__xludf.DUMMYFUNCTION("GOOGLETRANSLATE(B1498, ""zh"", ""vi"")"),"#VALUE!")</f>
        <v/>
      </c>
      <c r="H1466" s="9">
        <f>G1498=B1498</f>
        <v/>
      </c>
    </row>
    <row r="1467">
      <c r="B1467" s="11" t="n"/>
      <c r="C1467" s="8">
        <f>pinyin(B1499)</f>
        <v/>
      </c>
      <c r="E1467" s="8">
        <f>IFERROR(__xludf.DUMMYFUNCTION("GOOGLETRANSLATE(B1499, ""zh"", ""vi"")"),"#VALUE!")</f>
        <v/>
      </c>
      <c r="H1467" s="9">
        <f>G1499=B1499</f>
        <v/>
      </c>
    </row>
    <row r="1468">
      <c r="B1468" s="11" t="n"/>
      <c r="C1468" s="8">
        <f>pinyin(B1500)</f>
        <v/>
      </c>
      <c r="E1468" s="8">
        <f>IFERROR(__xludf.DUMMYFUNCTION("GOOGLETRANSLATE(B1500, ""zh"", ""vi"")"),"#VALUE!")</f>
        <v/>
      </c>
      <c r="H1468" s="9">
        <f>G1500=B1500</f>
        <v/>
      </c>
    </row>
    <row r="1469">
      <c r="B1469" s="11" t="n"/>
      <c r="C1469" s="8">
        <f>pinyin(B1501)</f>
        <v/>
      </c>
      <c r="E1469" s="8">
        <f>IFERROR(__xludf.DUMMYFUNCTION("GOOGLETRANSLATE(B1501, ""zh"", ""vi"")"),"#VALUE!")</f>
        <v/>
      </c>
      <c r="H1469" s="9">
        <f>G1501=B1501</f>
        <v/>
      </c>
    </row>
    <row r="1470">
      <c r="B1470" s="11" t="n"/>
      <c r="C1470" s="8">
        <f>pinyin(B1502)</f>
        <v/>
      </c>
      <c r="E1470" s="8">
        <f>IFERROR(__xludf.DUMMYFUNCTION("GOOGLETRANSLATE(B1502, ""zh"", ""vi"")"),"#VALUE!")</f>
        <v/>
      </c>
      <c r="H1470" s="9">
        <f>G1502=B1502</f>
        <v/>
      </c>
    </row>
    <row r="1471">
      <c r="B1471" s="11" t="n"/>
      <c r="C1471" s="8">
        <f>pinyin(B1503)</f>
        <v/>
      </c>
      <c r="E1471" s="8">
        <f>IFERROR(__xludf.DUMMYFUNCTION("GOOGLETRANSLATE(B1503, ""zh"", ""vi"")"),"#VALUE!")</f>
        <v/>
      </c>
      <c r="H1471" s="9">
        <f>G1503=B1503</f>
        <v/>
      </c>
    </row>
    <row r="1472">
      <c r="B1472" s="11" t="n"/>
      <c r="C1472" s="8">
        <f>pinyin(B1504)</f>
        <v/>
      </c>
      <c r="E1472" s="8">
        <f>IFERROR(__xludf.DUMMYFUNCTION("GOOGLETRANSLATE(B1504, ""zh"", ""vi"")"),"#VALUE!")</f>
        <v/>
      </c>
      <c r="H1472" s="9">
        <f>G1504=B1504</f>
        <v/>
      </c>
    </row>
    <row r="1473">
      <c r="B1473" s="11" t="n"/>
      <c r="C1473" s="8">
        <f>pinyin(B1505)</f>
        <v/>
      </c>
      <c r="E1473" s="8">
        <f>IFERROR(__xludf.DUMMYFUNCTION("GOOGLETRANSLATE(B1505, ""zh"", ""vi"")"),"#VALUE!")</f>
        <v/>
      </c>
      <c r="H1473" s="9">
        <f>G1505=B1505</f>
        <v/>
      </c>
    </row>
    <row r="1474">
      <c r="B1474" s="11" t="n"/>
      <c r="C1474" s="8">
        <f>pinyin(B1506)</f>
        <v/>
      </c>
      <c r="E1474" s="8">
        <f>IFERROR(__xludf.DUMMYFUNCTION("GOOGLETRANSLATE(B1506, ""zh"", ""vi"")"),"#VALUE!")</f>
        <v/>
      </c>
      <c r="H1474" s="9">
        <f>G1506=B1506</f>
        <v/>
      </c>
    </row>
    <row r="1475">
      <c r="B1475" s="11" t="n"/>
      <c r="C1475" s="8">
        <f>pinyin(B1507)</f>
        <v/>
      </c>
      <c r="E1475" s="8">
        <f>IFERROR(__xludf.DUMMYFUNCTION("GOOGLETRANSLATE(B1507, ""zh"", ""vi"")"),"#VALUE!")</f>
        <v/>
      </c>
      <c r="H1475" s="9">
        <f>G1507=B1507</f>
        <v/>
      </c>
    </row>
    <row r="1476">
      <c r="B1476" s="11" t="n"/>
      <c r="C1476" s="8">
        <f>pinyin(B1508)</f>
        <v/>
      </c>
      <c r="E1476" s="8">
        <f>IFERROR(__xludf.DUMMYFUNCTION("GOOGLETRANSLATE(B1508, ""zh"", ""vi"")"),"#VALUE!")</f>
        <v/>
      </c>
      <c r="H1476" s="9">
        <f>G1508=B1508</f>
        <v/>
      </c>
    </row>
    <row r="1477">
      <c r="B1477" s="11" t="n"/>
      <c r="C1477" s="8">
        <f>pinyin(B1509)</f>
        <v/>
      </c>
      <c r="E1477" s="8">
        <f>IFERROR(__xludf.DUMMYFUNCTION("GOOGLETRANSLATE(B1509, ""zh"", ""vi"")"),"#VALUE!")</f>
        <v/>
      </c>
      <c r="H1477" s="9">
        <f>G1509=B1509</f>
        <v/>
      </c>
    </row>
    <row r="1478">
      <c r="B1478" s="11" t="n"/>
      <c r="C1478" s="8">
        <f>pinyin(B1510)</f>
        <v/>
      </c>
      <c r="E1478" s="8">
        <f>IFERROR(__xludf.DUMMYFUNCTION("GOOGLETRANSLATE(B1510, ""zh"", ""vi"")"),"#VALUE!")</f>
        <v/>
      </c>
      <c r="H1478" s="9">
        <f>G1510=B1510</f>
        <v/>
      </c>
    </row>
    <row r="1479">
      <c r="B1479" s="11" t="n"/>
      <c r="C1479" s="8">
        <f>pinyin(B1511)</f>
        <v/>
      </c>
      <c r="E1479" s="8">
        <f>IFERROR(__xludf.DUMMYFUNCTION("GOOGLETRANSLATE(B1511, ""zh"", ""vi"")"),"#VALUE!")</f>
        <v/>
      </c>
      <c r="H1479" s="9">
        <f>G1511=B1511</f>
        <v/>
      </c>
    </row>
    <row r="1480">
      <c r="B1480" s="11" t="n"/>
      <c r="C1480" s="8">
        <f>pinyin(B1512)</f>
        <v/>
      </c>
      <c r="E1480" s="8">
        <f>IFERROR(__xludf.DUMMYFUNCTION("GOOGLETRANSLATE(B1512, ""zh"", ""vi"")"),"#VALUE!")</f>
        <v/>
      </c>
      <c r="H1480" s="9">
        <f>G1512=B1512</f>
        <v/>
      </c>
    </row>
    <row r="1481">
      <c r="B1481" s="11" t="n"/>
      <c r="C1481" s="8">
        <f>pinyin(B1513)</f>
        <v/>
      </c>
      <c r="E1481" s="8">
        <f>IFERROR(__xludf.DUMMYFUNCTION("GOOGLETRANSLATE(B1513, ""zh"", ""vi"")"),"#VALUE!")</f>
        <v/>
      </c>
      <c r="H1481" s="9">
        <f>G1513=B1513</f>
        <v/>
      </c>
    </row>
    <row r="1482">
      <c r="B1482" s="11" t="n"/>
      <c r="C1482" s="8">
        <f>pinyin(B1514)</f>
        <v/>
      </c>
      <c r="E1482" s="8">
        <f>IFERROR(__xludf.DUMMYFUNCTION("GOOGLETRANSLATE(B1514, ""zh"", ""vi"")"),"#VALUE!")</f>
        <v/>
      </c>
      <c r="H1482" s="9">
        <f>G1514=B1514</f>
        <v/>
      </c>
    </row>
    <row r="1483">
      <c r="B1483" s="11" t="n"/>
      <c r="C1483" s="8">
        <f>pinyin(B1515)</f>
        <v/>
      </c>
      <c r="E1483" s="8">
        <f>IFERROR(__xludf.DUMMYFUNCTION("GOOGLETRANSLATE(B1515, ""zh"", ""vi"")"),"#VALUE!")</f>
        <v/>
      </c>
      <c r="H1483" s="9">
        <f>G1515=B1515</f>
        <v/>
      </c>
    </row>
    <row r="1484">
      <c r="B1484" s="11" t="n"/>
      <c r="C1484" s="8">
        <f>pinyin(B1516)</f>
        <v/>
      </c>
      <c r="E1484" s="8">
        <f>IFERROR(__xludf.DUMMYFUNCTION("GOOGLETRANSLATE(B1516, ""zh"", ""vi"")"),"#VALUE!")</f>
        <v/>
      </c>
      <c r="H1484" s="9">
        <f>G1516=B1516</f>
        <v/>
      </c>
    </row>
    <row r="1485">
      <c r="B1485" s="11" t="n"/>
      <c r="C1485" s="8">
        <f>pinyin(B1517)</f>
        <v/>
      </c>
      <c r="E1485" s="8">
        <f>IFERROR(__xludf.DUMMYFUNCTION("GOOGLETRANSLATE(B1517, ""zh"", ""vi"")"),"#VALUE!")</f>
        <v/>
      </c>
      <c r="H1485" s="9">
        <f>G1517=B1517</f>
        <v/>
      </c>
    </row>
    <row r="1486">
      <c r="B1486" s="11" t="n"/>
      <c r="C1486" s="8">
        <f>pinyin(B1518)</f>
        <v/>
      </c>
      <c r="E1486" s="8">
        <f>IFERROR(__xludf.DUMMYFUNCTION("GOOGLETRANSLATE(B1518, ""zh"", ""vi"")"),"#VALUE!")</f>
        <v/>
      </c>
      <c r="H1486" s="9">
        <f>G1518=B1518</f>
        <v/>
      </c>
    </row>
    <row r="1487">
      <c r="B1487" s="11" t="n"/>
      <c r="C1487" s="8">
        <f>pinyin(B1519)</f>
        <v/>
      </c>
      <c r="E1487" s="8">
        <f>IFERROR(__xludf.DUMMYFUNCTION("GOOGLETRANSLATE(B1519, ""zh"", ""vi"")"),"#VALUE!")</f>
        <v/>
      </c>
      <c r="H1487" s="9">
        <f>G1519=B1519</f>
        <v/>
      </c>
    </row>
    <row r="1488">
      <c r="B1488" s="11" t="n"/>
      <c r="C1488" s="8">
        <f>pinyin(B1520)</f>
        <v/>
      </c>
      <c r="E1488" s="8">
        <f>IFERROR(__xludf.DUMMYFUNCTION("GOOGLETRANSLATE(B1520, ""zh"", ""vi"")"),"#VALUE!")</f>
        <v/>
      </c>
      <c r="H1488" s="9">
        <f>G1520=B1520</f>
        <v/>
      </c>
    </row>
    <row r="1489">
      <c r="B1489" s="11" t="n"/>
      <c r="C1489" s="8">
        <f>pinyin(B1521)</f>
        <v/>
      </c>
      <c r="E1489" s="8">
        <f>IFERROR(__xludf.DUMMYFUNCTION("GOOGLETRANSLATE(B1521, ""zh"", ""vi"")"),"#VALUE!")</f>
        <v/>
      </c>
      <c r="H1489" s="9">
        <f>G1521=B1521</f>
        <v/>
      </c>
    </row>
    <row r="1490">
      <c r="B1490" s="11" t="n"/>
      <c r="C1490" s="8">
        <f>pinyin(B1522)</f>
        <v/>
      </c>
      <c r="E1490" s="8">
        <f>IFERROR(__xludf.DUMMYFUNCTION("GOOGLETRANSLATE(B1522, ""zh"", ""vi"")"),"#VALUE!")</f>
        <v/>
      </c>
      <c r="H1490" s="9">
        <f>G1522=B1522</f>
        <v/>
      </c>
    </row>
    <row r="1491">
      <c r="B1491" s="11" t="n"/>
      <c r="C1491" s="8">
        <f>pinyin(B1523)</f>
        <v/>
      </c>
      <c r="E1491" s="8">
        <f>IFERROR(__xludf.DUMMYFUNCTION("GOOGLETRANSLATE(B1523, ""zh"", ""vi"")"),"#VALUE!")</f>
        <v/>
      </c>
      <c r="H1491" s="9">
        <f>G1523=B1523</f>
        <v/>
      </c>
    </row>
    <row r="1492">
      <c r="B1492" s="11" t="n"/>
      <c r="C1492" s="8">
        <f>pinyin(B1524)</f>
        <v/>
      </c>
      <c r="E1492" s="8">
        <f>IFERROR(__xludf.DUMMYFUNCTION("GOOGLETRANSLATE(B1524, ""zh"", ""vi"")"),"#VALUE!")</f>
        <v/>
      </c>
      <c r="H1492" s="9">
        <f>G1524=B1524</f>
        <v/>
      </c>
    </row>
    <row r="1493">
      <c r="B1493" s="11" t="n"/>
      <c r="C1493" s="8">
        <f>pinyin(B1525)</f>
        <v/>
      </c>
      <c r="E1493" s="8">
        <f>IFERROR(__xludf.DUMMYFUNCTION("GOOGLETRANSLATE(B1525, ""zh"", ""vi"")"),"#VALUE!")</f>
        <v/>
      </c>
      <c r="H1493" s="9">
        <f>G1525=B1525</f>
        <v/>
      </c>
    </row>
    <row r="1494">
      <c r="B1494" s="11" t="n"/>
      <c r="C1494" s="8">
        <f>pinyin(B1526)</f>
        <v/>
      </c>
      <c r="E1494" s="8">
        <f>IFERROR(__xludf.DUMMYFUNCTION("GOOGLETRANSLATE(B1526, ""zh"", ""vi"")"),"#VALUE!")</f>
        <v/>
      </c>
      <c r="H1494" s="9">
        <f>G1526=B1526</f>
        <v/>
      </c>
    </row>
    <row r="1495">
      <c r="B1495" s="11" t="n"/>
      <c r="C1495" s="8">
        <f>pinyin(B1527)</f>
        <v/>
      </c>
      <c r="E1495" s="8">
        <f>IFERROR(__xludf.DUMMYFUNCTION("GOOGLETRANSLATE(B1527, ""zh"", ""vi"")"),"#VALUE!")</f>
        <v/>
      </c>
      <c r="H1495" s="9">
        <f>G1527=B1527</f>
        <v/>
      </c>
    </row>
    <row r="1496">
      <c r="B1496" s="11" t="n"/>
      <c r="C1496" s="8">
        <f>pinyin(B1528)</f>
        <v/>
      </c>
      <c r="E1496" s="8">
        <f>IFERROR(__xludf.DUMMYFUNCTION("GOOGLETRANSLATE(B1528, ""zh"", ""vi"")"),"#VALUE!")</f>
        <v/>
      </c>
      <c r="H1496" s="9">
        <f>G1528=B1528</f>
        <v/>
      </c>
    </row>
    <row r="1497">
      <c r="B1497" s="11" t="n"/>
      <c r="C1497" s="8">
        <f>pinyin(B1529)</f>
        <v/>
      </c>
      <c r="E1497" s="8">
        <f>IFERROR(__xludf.DUMMYFUNCTION("GOOGLETRANSLATE(B1529, ""zh"", ""vi"")"),"#VALUE!")</f>
        <v/>
      </c>
      <c r="H1497" s="9">
        <f>G1529=B1529</f>
        <v/>
      </c>
    </row>
    <row r="1498">
      <c r="B1498" s="11" t="n"/>
      <c r="C1498" s="8">
        <f>pinyin(B1530)</f>
        <v/>
      </c>
      <c r="E1498" s="8">
        <f>IFERROR(__xludf.DUMMYFUNCTION("GOOGLETRANSLATE(B1530, ""zh"", ""vi"")"),"#VALUE!")</f>
        <v/>
      </c>
      <c r="H1498" s="9">
        <f>G1530=B1530</f>
        <v/>
      </c>
    </row>
    <row r="1499">
      <c r="B1499" s="11" t="n"/>
      <c r="C1499" s="8">
        <f>pinyin(B1531)</f>
        <v/>
      </c>
      <c r="E1499" s="8">
        <f>IFERROR(__xludf.DUMMYFUNCTION("GOOGLETRANSLATE(B1531, ""zh"", ""vi"")"),"#VALUE!")</f>
        <v/>
      </c>
      <c r="H1499" s="9">
        <f>G1531=B1531</f>
        <v/>
      </c>
    </row>
    <row r="1500">
      <c r="B1500" s="11" t="n"/>
      <c r="C1500" s="8">
        <f>pinyin(B1532)</f>
        <v/>
      </c>
      <c r="E1500" s="8">
        <f>IFERROR(__xludf.DUMMYFUNCTION("GOOGLETRANSLATE(B1532, ""zh"", ""vi"")"),"#VALUE!")</f>
        <v/>
      </c>
      <c r="H1500" s="9">
        <f>G1532=B1532</f>
        <v/>
      </c>
    </row>
    <row r="1501">
      <c r="B1501" s="11" t="n"/>
      <c r="C1501" s="8">
        <f>pinyin(B1533)</f>
        <v/>
      </c>
      <c r="E1501" s="8">
        <f>IFERROR(__xludf.DUMMYFUNCTION("GOOGLETRANSLATE(B1533, ""zh"", ""vi"")"),"#VALUE!")</f>
        <v/>
      </c>
      <c r="H1501" s="9">
        <f>G1533=B1533</f>
        <v/>
      </c>
    </row>
    <row r="1502">
      <c r="B1502" s="11" t="n"/>
      <c r="C1502" s="8">
        <f>pinyin(B1534)</f>
        <v/>
      </c>
      <c r="E1502" s="8">
        <f>IFERROR(__xludf.DUMMYFUNCTION("GOOGLETRANSLATE(B1534, ""zh"", ""vi"")"),"#VALUE!")</f>
        <v/>
      </c>
      <c r="H1502" s="9">
        <f>G1534=B1534</f>
        <v/>
      </c>
    </row>
    <row r="1503">
      <c r="B1503" s="11" t="n"/>
      <c r="C1503" s="8">
        <f>pinyin(B1535)</f>
        <v/>
      </c>
      <c r="E1503" s="8">
        <f>IFERROR(__xludf.DUMMYFUNCTION("GOOGLETRANSLATE(B1535, ""zh"", ""vi"")"),"#VALUE!")</f>
        <v/>
      </c>
      <c r="H1503" s="9">
        <f>G1535=B1535</f>
        <v/>
      </c>
    </row>
    <row r="1504">
      <c r="B1504" s="11" t="n"/>
      <c r="C1504" s="8">
        <f>pinyin(B1536)</f>
        <v/>
      </c>
      <c r="E1504" s="8">
        <f>IFERROR(__xludf.DUMMYFUNCTION("GOOGLETRANSLATE(B1536, ""zh"", ""vi"")"),"#VALUE!")</f>
        <v/>
      </c>
      <c r="H1504" s="9">
        <f>G1536=B1536</f>
        <v/>
      </c>
    </row>
    <row r="1505">
      <c r="B1505" s="11" t="n"/>
      <c r="C1505" s="8">
        <f>pinyin(B1537)</f>
        <v/>
      </c>
      <c r="E1505" s="8">
        <f>IFERROR(__xludf.DUMMYFUNCTION("GOOGLETRANSLATE(B1537, ""zh"", ""vi"")"),"#VALUE!")</f>
        <v/>
      </c>
      <c r="H1505" s="9">
        <f>G1537=B1537</f>
        <v/>
      </c>
    </row>
    <row r="1506">
      <c r="B1506" s="11" t="n"/>
      <c r="C1506" s="8">
        <f>pinyin(B1538)</f>
        <v/>
      </c>
      <c r="E1506" s="8">
        <f>IFERROR(__xludf.DUMMYFUNCTION("GOOGLETRANSLATE(B1538, ""zh"", ""vi"")"),"#VALUE!")</f>
        <v/>
      </c>
      <c r="H1506" s="9">
        <f>G1538=B1538</f>
        <v/>
      </c>
    </row>
    <row r="1507">
      <c r="B1507" s="11" t="n"/>
      <c r="C1507" s="8">
        <f>pinyin(B1539)</f>
        <v/>
      </c>
      <c r="E1507" s="8">
        <f>IFERROR(__xludf.DUMMYFUNCTION("GOOGLETRANSLATE(B1539, ""zh"", ""vi"")"),"#VALUE!")</f>
        <v/>
      </c>
      <c r="H1507" s="9">
        <f>G1539=B1539</f>
        <v/>
      </c>
    </row>
    <row r="1508">
      <c r="B1508" s="11" t="n"/>
      <c r="C1508" s="8">
        <f>pinyin(B1540)</f>
        <v/>
      </c>
      <c r="E1508" s="8">
        <f>IFERROR(__xludf.DUMMYFUNCTION("GOOGLETRANSLATE(B1540, ""zh"", ""vi"")"),"#VALUE!")</f>
        <v/>
      </c>
      <c r="H1508" s="9">
        <f>G1540=B1540</f>
        <v/>
      </c>
    </row>
    <row r="1509">
      <c r="B1509" s="11" t="n"/>
      <c r="C1509" s="8">
        <f>pinyin(B1541)</f>
        <v/>
      </c>
      <c r="E1509" s="8">
        <f>IFERROR(__xludf.DUMMYFUNCTION("GOOGLETRANSLATE(B1541, ""zh"", ""vi"")"),"#VALUE!")</f>
        <v/>
      </c>
      <c r="H1509" s="9">
        <f>G1541=B1541</f>
        <v/>
      </c>
    </row>
    <row r="1510">
      <c r="B1510" s="11" t="n"/>
      <c r="C1510" s="8">
        <f>pinyin(B1542)</f>
        <v/>
      </c>
      <c r="E1510" s="8">
        <f>IFERROR(__xludf.DUMMYFUNCTION("GOOGLETRANSLATE(B1542, ""zh"", ""vi"")"),"#VALUE!")</f>
        <v/>
      </c>
      <c r="H1510" s="9">
        <f>G1542=B1542</f>
        <v/>
      </c>
    </row>
    <row r="1511">
      <c r="B1511" s="11" t="n"/>
      <c r="C1511" s="8">
        <f>pinyin(B1543)</f>
        <v/>
      </c>
      <c r="E1511" s="8">
        <f>IFERROR(__xludf.DUMMYFUNCTION("GOOGLETRANSLATE(B1543, ""zh"", ""vi"")"),"#VALUE!")</f>
        <v/>
      </c>
      <c r="H1511" s="9">
        <f>G1543=B1543</f>
        <v/>
      </c>
    </row>
    <row r="1512">
      <c r="B1512" s="11" t="n"/>
      <c r="C1512" s="8">
        <f>pinyin(B1544)</f>
        <v/>
      </c>
      <c r="E1512" s="8">
        <f>IFERROR(__xludf.DUMMYFUNCTION("GOOGLETRANSLATE(B1544, ""zh"", ""vi"")"),"#VALUE!")</f>
        <v/>
      </c>
      <c r="H1512" s="9">
        <f>G1544=B1544</f>
        <v/>
      </c>
    </row>
    <row r="1513">
      <c r="B1513" s="11" t="n"/>
      <c r="C1513" s="8">
        <f>pinyin(B1545)</f>
        <v/>
      </c>
      <c r="E1513" s="8">
        <f>IFERROR(__xludf.DUMMYFUNCTION("GOOGLETRANSLATE(B1545, ""zh"", ""vi"")"),"#VALUE!")</f>
        <v/>
      </c>
      <c r="H1513" s="9">
        <f>G1545=B1545</f>
        <v/>
      </c>
    </row>
    <row r="1514">
      <c r="B1514" s="11" t="n"/>
      <c r="C1514" s="8">
        <f>pinyin(B1546)</f>
        <v/>
      </c>
      <c r="E1514" s="8">
        <f>IFERROR(__xludf.DUMMYFUNCTION("GOOGLETRANSLATE(B1546, ""zh"", ""vi"")"),"#VALUE!")</f>
        <v/>
      </c>
      <c r="H1514" s="9">
        <f>G1546=B1546</f>
        <v/>
      </c>
    </row>
    <row r="1515">
      <c r="B1515" s="11" t="n"/>
      <c r="C1515" s="8">
        <f>pinyin(B1547)</f>
        <v/>
      </c>
      <c r="E1515" s="8">
        <f>IFERROR(__xludf.DUMMYFUNCTION("GOOGLETRANSLATE(B1547, ""zh"", ""vi"")"),"#VALUE!")</f>
        <v/>
      </c>
      <c r="H1515" s="9">
        <f>G1547=B1547</f>
        <v/>
      </c>
    </row>
    <row r="1516">
      <c r="B1516" s="11" t="n"/>
      <c r="C1516" s="8">
        <f>pinyin(B1548)</f>
        <v/>
      </c>
      <c r="E1516" s="8">
        <f>IFERROR(__xludf.DUMMYFUNCTION("GOOGLETRANSLATE(B1548, ""zh"", ""vi"")"),"#VALUE!")</f>
        <v/>
      </c>
      <c r="H1516" s="9">
        <f>G1548=B1548</f>
        <v/>
      </c>
    </row>
    <row r="1517">
      <c r="B1517" s="11" t="n"/>
      <c r="C1517" s="8">
        <f>pinyin(B1549)</f>
        <v/>
      </c>
      <c r="E1517" s="8">
        <f>IFERROR(__xludf.DUMMYFUNCTION("GOOGLETRANSLATE(B1549, ""zh"", ""vi"")"),"#VALUE!")</f>
        <v/>
      </c>
      <c r="H1517" s="9">
        <f>G1549=B1549</f>
        <v/>
      </c>
    </row>
    <row r="1518">
      <c r="B1518" s="11" t="n"/>
      <c r="C1518" s="8">
        <f>pinyin(B1550)</f>
        <v/>
      </c>
      <c r="E1518" s="8">
        <f>IFERROR(__xludf.DUMMYFUNCTION("GOOGLETRANSLATE(B1550, ""zh"", ""vi"")"),"#VALUE!")</f>
        <v/>
      </c>
      <c r="H1518" s="9">
        <f>G1550=B1550</f>
        <v/>
      </c>
    </row>
    <row r="1519">
      <c r="B1519" s="11" t="n"/>
      <c r="C1519" s="8">
        <f>pinyin(B1551)</f>
        <v/>
      </c>
      <c r="E1519" s="8">
        <f>IFERROR(__xludf.DUMMYFUNCTION("GOOGLETRANSLATE(B1551, ""zh"", ""vi"")"),"#VALUE!")</f>
        <v/>
      </c>
      <c r="H1519" s="9">
        <f>G1551=B1551</f>
        <v/>
      </c>
    </row>
    <row r="1520">
      <c r="B1520" s="11" t="n"/>
      <c r="C1520" s="8">
        <f>pinyin(B1552)</f>
        <v/>
      </c>
      <c r="E1520" s="8">
        <f>IFERROR(__xludf.DUMMYFUNCTION("GOOGLETRANSLATE(B1552, ""zh"", ""vi"")"),"#VALUE!")</f>
        <v/>
      </c>
      <c r="H1520" s="9">
        <f>G1552=B1552</f>
        <v/>
      </c>
    </row>
    <row r="1521">
      <c r="B1521" s="11" t="n"/>
      <c r="C1521" s="8">
        <f>pinyin(B1553)</f>
        <v/>
      </c>
      <c r="E1521" s="8">
        <f>IFERROR(__xludf.DUMMYFUNCTION("GOOGLETRANSLATE(B1553, ""zh"", ""vi"")"),"#VALUE!")</f>
        <v/>
      </c>
      <c r="H1521" s="9">
        <f>G1553=B1553</f>
        <v/>
      </c>
    </row>
    <row r="1522">
      <c r="B1522" s="11" t="n"/>
      <c r="C1522" s="8">
        <f>pinyin(B1554)</f>
        <v/>
      </c>
      <c r="E1522" s="8">
        <f>IFERROR(__xludf.DUMMYFUNCTION("GOOGLETRANSLATE(B1554, ""zh"", ""vi"")"),"#VALUE!")</f>
        <v/>
      </c>
      <c r="H1522" s="9">
        <f>G1554=B1554</f>
        <v/>
      </c>
    </row>
    <row r="1523">
      <c r="B1523" s="11" t="n"/>
      <c r="C1523" s="8">
        <f>pinyin(B1555)</f>
        <v/>
      </c>
      <c r="E1523" s="8">
        <f>IFERROR(__xludf.DUMMYFUNCTION("GOOGLETRANSLATE(B1555, ""zh"", ""vi"")"),"#VALUE!")</f>
        <v/>
      </c>
      <c r="H1523" s="9">
        <f>G1555=B1555</f>
        <v/>
      </c>
    </row>
    <row r="1524">
      <c r="B1524" s="11" t="n"/>
      <c r="C1524" s="8">
        <f>pinyin(B1556)</f>
        <v/>
      </c>
      <c r="E1524" s="8">
        <f>IFERROR(__xludf.DUMMYFUNCTION("GOOGLETRANSLATE(B1556, ""zh"", ""vi"")"),"#VALUE!")</f>
        <v/>
      </c>
      <c r="H1524" s="9">
        <f>G1556=B1556</f>
        <v/>
      </c>
    </row>
    <row r="1525">
      <c r="B1525" s="11" t="n"/>
      <c r="C1525" s="8">
        <f>pinyin(B1557)</f>
        <v/>
      </c>
      <c r="E1525" s="8">
        <f>IFERROR(__xludf.DUMMYFUNCTION("GOOGLETRANSLATE(B1557, ""zh"", ""vi"")"),"#VALUE!")</f>
        <v/>
      </c>
      <c r="H1525" s="9">
        <f>G1557=B1557</f>
        <v/>
      </c>
    </row>
    <row r="1526">
      <c r="B1526" s="11" t="n"/>
      <c r="C1526" s="8">
        <f>pinyin(B1558)</f>
        <v/>
      </c>
      <c r="E1526" s="8">
        <f>IFERROR(__xludf.DUMMYFUNCTION("GOOGLETRANSLATE(B1558, ""zh"", ""vi"")"),"#VALUE!")</f>
        <v/>
      </c>
      <c r="H1526" s="9">
        <f>G1558=B1558</f>
        <v/>
      </c>
    </row>
    <row r="1527">
      <c r="B1527" s="11" t="n"/>
      <c r="C1527" s="8">
        <f>pinyin(B1559)</f>
        <v/>
      </c>
      <c r="E1527" s="8">
        <f>IFERROR(__xludf.DUMMYFUNCTION("GOOGLETRANSLATE(B1559, ""zh"", ""vi"")"),"#VALUE!")</f>
        <v/>
      </c>
      <c r="H1527" s="9">
        <f>G1559=B1559</f>
        <v/>
      </c>
    </row>
    <row r="1528">
      <c r="B1528" s="11" t="n"/>
      <c r="C1528" s="8">
        <f>pinyin(B1560)</f>
        <v/>
      </c>
      <c r="E1528" s="8">
        <f>IFERROR(__xludf.DUMMYFUNCTION("GOOGLETRANSLATE(B1560, ""zh"", ""vi"")"),"#VALUE!")</f>
        <v/>
      </c>
      <c r="H1528" s="9">
        <f>G1560=B1560</f>
        <v/>
      </c>
    </row>
    <row r="1529">
      <c r="B1529" s="11" t="n"/>
      <c r="C1529" s="8">
        <f>pinyin(B1561)</f>
        <v/>
      </c>
      <c r="E1529" s="8">
        <f>IFERROR(__xludf.DUMMYFUNCTION("GOOGLETRANSLATE(B1561, ""zh"", ""vi"")"),"#VALUE!")</f>
        <v/>
      </c>
      <c r="H1529" s="9">
        <f>G1561=B1561</f>
        <v/>
      </c>
    </row>
    <row r="1530">
      <c r="B1530" s="11" t="n"/>
      <c r="C1530" s="8">
        <f>pinyin(B1562)</f>
        <v/>
      </c>
      <c r="E1530" s="8">
        <f>IFERROR(__xludf.DUMMYFUNCTION("GOOGLETRANSLATE(B1562, ""zh"", ""vi"")"),"#VALUE!")</f>
        <v/>
      </c>
      <c r="H1530" s="9">
        <f>G1562=B1562</f>
        <v/>
      </c>
    </row>
    <row r="1531">
      <c r="B1531" s="11" t="n"/>
      <c r="C1531" s="8">
        <f>pinyin(B1563)</f>
        <v/>
      </c>
      <c r="E1531" s="8">
        <f>IFERROR(__xludf.DUMMYFUNCTION("GOOGLETRANSLATE(B1563, ""zh"", ""vi"")"),"#VALUE!")</f>
        <v/>
      </c>
      <c r="H1531" s="9">
        <f>G1563=B1563</f>
        <v/>
      </c>
    </row>
    <row r="1532">
      <c r="B1532" s="11" t="n"/>
      <c r="C1532" s="8">
        <f>pinyin(B1564)</f>
        <v/>
      </c>
      <c r="E1532" s="8">
        <f>IFERROR(__xludf.DUMMYFUNCTION("GOOGLETRANSLATE(B1564, ""zh"", ""vi"")"),"#VALUE!")</f>
        <v/>
      </c>
      <c r="H1532" s="9">
        <f>G1564=B1564</f>
        <v/>
      </c>
    </row>
    <row r="1533">
      <c r="B1533" s="11" t="n"/>
      <c r="C1533" s="8">
        <f>pinyin(B1565)</f>
        <v/>
      </c>
      <c r="E1533" s="8">
        <f>IFERROR(__xludf.DUMMYFUNCTION("GOOGLETRANSLATE(B1565, ""zh"", ""vi"")"),"#VALUE!")</f>
        <v/>
      </c>
      <c r="H1533" s="9">
        <f>G1565=B1565</f>
        <v/>
      </c>
    </row>
    <row r="1534">
      <c r="B1534" s="11" t="n"/>
      <c r="C1534" s="8">
        <f>pinyin(B1566)</f>
        <v/>
      </c>
      <c r="E1534" s="8">
        <f>IFERROR(__xludf.DUMMYFUNCTION("GOOGLETRANSLATE(B1566, ""zh"", ""vi"")"),"#VALUE!")</f>
        <v/>
      </c>
      <c r="H1534" s="9">
        <f>G1566=B1566</f>
        <v/>
      </c>
    </row>
    <row r="1535">
      <c r="B1535" s="11" t="n"/>
      <c r="C1535" s="8">
        <f>pinyin(B1567)</f>
        <v/>
      </c>
      <c r="E1535" s="8">
        <f>IFERROR(__xludf.DUMMYFUNCTION("GOOGLETRANSLATE(B1567, ""zh"", ""vi"")"),"#VALUE!")</f>
        <v/>
      </c>
      <c r="H1535" s="9">
        <f>G1567=B1567</f>
        <v/>
      </c>
    </row>
    <row r="1536">
      <c r="B1536" s="11" t="n"/>
      <c r="C1536" s="8">
        <f>pinyin(B1568)</f>
        <v/>
      </c>
      <c r="E1536" s="8">
        <f>IFERROR(__xludf.DUMMYFUNCTION("GOOGLETRANSLATE(B1568, ""zh"", ""vi"")"),"#VALUE!")</f>
        <v/>
      </c>
      <c r="H1536" s="9">
        <f>G1568=B1568</f>
        <v/>
      </c>
    </row>
    <row r="1537">
      <c r="B1537" s="11" t="n"/>
      <c r="C1537" s="8">
        <f>pinyin(B1569)</f>
        <v/>
      </c>
      <c r="E1537" s="8">
        <f>IFERROR(__xludf.DUMMYFUNCTION("GOOGLETRANSLATE(B1569, ""zh"", ""vi"")"),"#VALUE!")</f>
        <v/>
      </c>
      <c r="H1537" s="9">
        <f>G1569=B1569</f>
        <v/>
      </c>
    </row>
    <row r="1538">
      <c r="B1538" s="11" t="n"/>
      <c r="C1538" s="8">
        <f>pinyin(B1570)</f>
        <v/>
      </c>
      <c r="E1538" s="8">
        <f>IFERROR(__xludf.DUMMYFUNCTION("GOOGLETRANSLATE(B1570, ""zh"", ""vi"")"),"#VALUE!")</f>
        <v/>
      </c>
      <c r="H1538" s="9">
        <f>G1570=B1570</f>
        <v/>
      </c>
    </row>
    <row r="1539">
      <c r="B1539" s="11" t="n"/>
      <c r="C1539" s="8">
        <f>pinyin(B1571)</f>
        <v/>
      </c>
      <c r="E1539" s="8">
        <f>IFERROR(__xludf.DUMMYFUNCTION("GOOGLETRANSLATE(B1571, ""zh"", ""vi"")"),"#VALUE!")</f>
        <v/>
      </c>
      <c r="H1539" s="9">
        <f>G1571=B1571</f>
        <v/>
      </c>
    </row>
    <row r="1540">
      <c r="B1540" s="11" t="n"/>
      <c r="C1540" s="8">
        <f>pinyin(B1572)</f>
        <v/>
      </c>
      <c r="E1540" s="8">
        <f>IFERROR(__xludf.DUMMYFUNCTION("GOOGLETRANSLATE(B1572, ""zh"", ""vi"")"),"#VALUE!")</f>
        <v/>
      </c>
      <c r="H1540" s="9">
        <f>G1572=B1572</f>
        <v/>
      </c>
    </row>
    <row r="1541">
      <c r="B1541" s="11" t="n"/>
      <c r="C1541" s="8">
        <f>pinyin(B1573)</f>
        <v/>
      </c>
      <c r="E1541" s="8">
        <f>IFERROR(__xludf.DUMMYFUNCTION("GOOGLETRANSLATE(B1573, ""zh"", ""vi"")"),"#VALUE!")</f>
        <v/>
      </c>
      <c r="H1541" s="9">
        <f>G1573=B1573</f>
        <v/>
      </c>
    </row>
    <row r="1542">
      <c r="B1542" s="11" t="n"/>
      <c r="C1542" s="8">
        <f>pinyin(B1574)</f>
        <v/>
      </c>
      <c r="E1542" s="8">
        <f>IFERROR(__xludf.DUMMYFUNCTION("GOOGLETRANSLATE(B1574, ""zh"", ""vi"")"),"#VALUE!")</f>
        <v/>
      </c>
      <c r="H1542" s="9">
        <f>G1574=B1574</f>
        <v/>
      </c>
    </row>
    <row r="1543">
      <c r="B1543" s="11" t="n"/>
      <c r="C1543" s="8">
        <f>pinyin(B1575)</f>
        <v/>
      </c>
      <c r="E1543" s="8">
        <f>IFERROR(__xludf.DUMMYFUNCTION("GOOGLETRANSLATE(B1575, ""zh"", ""vi"")"),"#VALUE!")</f>
        <v/>
      </c>
      <c r="H1543" s="9">
        <f>G1575=B1575</f>
        <v/>
      </c>
    </row>
    <row r="1544">
      <c r="B1544" s="11" t="n"/>
      <c r="C1544" s="8">
        <f>pinyin(B1576)</f>
        <v/>
      </c>
      <c r="E1544" s="8">
        <f>IFERROR(__xludf.DUMMYFUNCTION("GOOGLETRANSLATE(B1576, ""zh"", ""vi"")"),"#VALUE!")</f>
        <v/>
      </c>
      <c r="H1544" s="9">
        <f>G1576=B1576</f>
        <v/>
      </c>
    </row>
    <row r="1545">
      <c r="B1545" s="11" t="n"/>
      <c r="C1545" s="8">
        <f>pinyin(B1577)</f>
        <v/>
      </c>
      <c r="E1545" s="8">
        <f>IFERROR(__xludf.DUMMYFUNCTION("GOOGLETRANSLATE(B1577, ""zh"", ""vi"")"),"#VALUE!")</f>
        <v/>
      </c>
      <c r="H1545" s="9">
        <f>G1577=B1577</f>
        <v/>
      </c>
    </row>
    <row r="1546">
      <c r="B1546" s="11" t="n"/>
      <c r="C1546" s="8">
        <f>pinyin(B1578)</f>
        <v/>
      </c>
      <c r="E1546" s="8">
        <f>IFERROR(__xludf.DUMMYFUNCTION("GOOGLETRANSLATE(B1578, ""zh"", ""vi"")"),"#VALUE!")</f>
        <v/>
      </c>
      <c r="H1546" s="9">
        <f>G1578=B1578</f>
        <v/>
      </c>
    </row>
    <row r="1547">
      <c r="B1547" s="11" t="n"/>
      <c r="C1547" s="8">
        <f>pinyin(B1579)</f>
        <v/>
      </c>
      <c r="E1547" s="8">
        <f>IFERROR(__xludf.DUMMYFUNCTION("GOOGLETRANSLATE(B1579, ""zh"", ""vi"")"),"#VALUE!")</f>
        <v/>
      </c>
      <c r="H1547" s="9">
        <f>G1579=B1579</f>
        <v/>
      </c>
    </row>
    <row r="1548">
      <c r="B1548" s="11" t="n"/>
      <c r="C1548" s="8">
        <f>pinyin(B1580)</f>
        <v/>
      </c>
      <c r="E1548" s="8">
        <f>IFERROR(__xludf.DUMMYFUNCTION("GOOGLETRANSLATE(B1580, ""zh"", ""vi"")"),"#VALUE!")</f>
        <v/>
      </c>
      <c r="H1548" s="9">
        <f>G1580=B1580</f>
        <v/>
      </c>
    </row>
    <row r="1549">
      <c r="B1549" s="11" t="n"/>
      <c r="C1549" s="8">
        <f>pinyin(B1581)</f>
        <v/>
      </c>
      <c r="E1549" s="8">
        <f>IFERROR(__xludf.DUMMYFUNCTION("GOOGLETRANSLATE(B1581, ""zh"", ""vi"")"),"#VALUE!")</f>
        <v/>
      </c>
      <c r="H1549" s="9">
        <f>G1581=B1581</f>
        <v/>
      </c>
    </row>
    <row r="1550">
      <c r="B1550" s="11" t="n"/>
      <c r="C1550" s="8">
        <f>pinyin(B1582)</f>
        <v/>
      </c>
      <c r="E1550" s="8">
        <f>IFERROR(__xludf.DUMMYFUNCTION("GOOGLETRANSLATE(B1582, ""zh"", ""vi"")"),"#VALUE!")</f>
        <v/>
      </c>
      <c r="H1550" s="9">
        <f>G1582=B1582</f>
        <v/>
      </c>
    </row>
    <row r="1551">
      <c r="B1551" s="11" t="n"/>
      <c r="C1551" s="8">
        <f>pinyin(B1583)</f>
        <v/>
      </c>
      <c r="E1551" s="8">
        <f>IFERROR(__xludf.DUMMYFUNCTION("GOOGLETRANSLATE(B1583, ""zh"", ""vi"")"),"#VALUE!")</f>
        <v/>
      </c>
      <c r="H1551" s="9">
        <f>G1583=B1583</f>
        <v/>
      </c>
    </row>
    <row r="1552">
      <c r="B1552" s="11" t="n"/>
      <c r="C1552" s="8">
        <f>pinyin(B1584)</f>
        <v/>
      </c>
      <c r="E1552" s="8">
        <f>IFERROR(__xludf.DUMMYFUNCTION("GOOGLETRANSLATE(B1584, ""zh"", ""vi"")"),"#VALUE!")</f>
        <v/>
      </c>
      <c r="H1552" s="9">
        <f>G1584=B1584</f>
        <v/>
      </c>
    </row>
    <row r="1553">
      <c r="B1553" s="11" t="n"/>
      <c r="C1553" s="8">
        <f>pinyin(B1585)</f>
        <v/>
      </c>
      <c r="E1553" s="8">
        <f>IFERROR(__xludf.DUMMYFUNCTION("GOOGLETRANSLATE(B1585, ""zh"", ""vi"")"),"#VALUE!")</f>
        <v/>
      </c>
      <c r="H1553" s="9">
        <f>G1585=B1585</f>
        <v/>
      </c>
    </row>
    <row r="1554">
      <c r="B1554" s="11" t="n"/>
      <c r="C1554" s="8">
        <f>pinyin(B1586)</f>
        <v/>
      </c>
      <c r="E1554" s="8">
        <f>IFERROR(__xludf.DUMMYFUNCTION("GOOGLETRANSLATE(B1586, ""zh"", ""vi"")"),"#VALUE!")</f>
        <v/>
      </c>
      <c r="H1554" s="9">
        <f>G1586=B1586</f>
        <v/>
      </c>
    </row>
    <row r="1555">
      <c r="B1555" s="11" t="n"/>
      <c r="C1555" s="8">
        <f>pinyin(B1587)</f>
        <v/>
      </c>
      <c r="E1555" s="8">
        <f>IFERROR(__xludf.DUMMYFUNCTION("GOOGLETRANSLATE(B1587, ""zh"", ""vi"")"),"#VALUE!")</f>
        <v/>
      </c>
      <c r="H1555" s="9">
        <f>G1587=B1587</f>
        <v/>
      </c>
    </row>
    <row r="1556">
      <c r="B1556" s="11" t="n"/>
      <c r="C1556" s="8">
        <f>pinyin(B1588)</f>
        <v/>
      </c>
      <c r="E1556" s="8">
        <f>IFERROR(__xludf.DUMMYFUNCTION("GOOGLETRANSLATE(B1588, ""zh"", ""vi"")"),"#VALUE!")</f>
        <v/>
      </c>
      <c r="H1556" s="9">
        <f>G1588=B1588</f>
        <v/>
      </c>
    </row>
    <row r="1557">
      <c r="B1557" s="11" t="n"/>
      <c r="C1557" s="8">
        <f>pinyin(B1589)</f>
        <v/>
      </c>
      <c r="E1557" s="8">
        <f>IFERROR(__xludf.DUMMYFUNCTION("GOOGLETRANSLATE(B1589, ""zh"", ""vi"")"),"#VALUE!")</f>
        <v/>
      </c>
      <c r="H1557" s="9">
        <f>G1589=B1589</f>
        <v/>
      </c>
    </row>
    <row r="1558">
      <c r="B1558" s="11" t="n"/>
      <c r="C1558" s="8">
        <f>pinyin(B1590)</f>
        <v/>
      </c>
      <c r="E1558" s="8">
        <f>IFERROR(__xludf.DUMMYFUNCTION("GOOGLETRANSLATE(B1590, ""zh"", ""vi"")"),"#VALUE!")</f>
        <v/>
      </c>
      <c r="H1558" s="9">
        <f>G1590=B1590</f>
        <v/>
      </c>
    </row>
    <row r="1559">
      <c r="B1559" s="11" t="n"/>
      <c r="C1559" s="8">
        <f>pinyin(B1591)</f>
        <v/>
      </c>
      <c r="E1559" s="8">
        <f>IFERROR(__xludf.DUMMYFUNCTION("GOOGLETRANSLATE(B1591, ""zh"", ""vi"")"),"#VALUE!")</f>
        <v/>
      </c>
      <c r="H1559" s="9">
        <f>G1591=B1591</f>
        <v/>
      </c>
    </row>
    <row r="1560">
      <c r="B1560" s="11" t="n"/>
      <c r="C1560" s="8">
        <f>pinyin(B1592)</f>
        <v/>
      </c>
      <c r="E1560" s="8">
        <f>IFERROR(__xludf.DUMMYFUNCTION("GOOGLETRANSLATE(B1592, ""zh"", ""vi"")"),"#VALUE!")</f>
        <v/>
      </c>
      <c r="H1560" s="9">
        <f>G1592=B1592</f>
        <v/>
      </c>
    </row>
    <row r="1561">
      <c r="B1561" s="11" t="n"/>
      <c r="C1561" s="8">
        <f>pinyin(B1593)</f>
        <v/>
      </c>
      <c r="E1561" s="8">
        <f>IFERROR(__xludf.DUMMYFUNCTION("GOOGLETRANSLATE(B1593, ""zh"", ""vi"")"),"#VALUE!")</f>
        <v/>
      </c>
      <c r="H1561" s="9">
        <f>G1593=B1593</f>
        <v/>
      </c>
    </row>
    <row r="1562">
      <c r="B1562" s="11" t="n"/>
      <c r="C1562" s="8">
        <f>pinyin(B1594)</f>
        <v/>
      </c>
      <c r="E1562" s="8">
        <f>IFERROR(__xludf.DUMMYFUNCTION("GOOGLETRANSLATE(B1594, ""zh"", ""vi"")"),"#VALUE!")</f>
        <v/>
      </c>
      <c r="H1562" s="9">
        <f>G1594=B1594</f>
        <v/>
      </c>
    </row>
    <row r="1563">
      <c r="B1563" s="11" t="n"/>
      <c r="C1563" s="8">
        <f>pinyin(B1595)</f>
        <v/>
      </c>
      <c r="E1563" s="8">
        <f>IFERROR(__xludf.DUMMYFUNCTION("GOOGLETRANSLATE(B1595, ""zh"", ""vi"")"),"#VALUE!")</f>
        <v/>
      </c>
      <c r="H1563" s="9">
        <f>G1595=B1595</f>
        <v/>
      </c>
    </row>
    <row r="1564">
      <c r="B1564" s="11" t="n"/>
      <c r="C1564" s="8">
        <f>pinyin(B1596)</f>
        <v/>
      </c>
      <c r="E1564" s="8">
        <f>IFERROR(__xludf.DUMMYFUNCTION("GOOGLETRANSLATE(B1596, ""zh"", ""vi"")"),"#VALUE!")</f>
        <v/>
      </c>
      <c r="H1564" s="9">
        <f>G1596=B1596</f>
        <v/>
      </c>
    </row>
    <row r="1565">
      <c r="B1565" s="11" t="n"/>
      <c r="C1565" s="8">
        <f>pinyin(B1597)</f>
        <v/>
      </c>
      <c r="E1565" s="8">
        <f>IFERROR(__xludf.DUMMYFUNCTION("GOOGLETRANSLATE(B1597, ""zh"", ""vi"")"),"#VALUE!")</f>
        <v/>
      </c>
      <c r="H1565" s="9">
        <f>G1597=B1597</f>
        <v/>
      </c>
    </row>
    <row r="1566">
      <c r="B1566" s="11" t="n"/>
      <c r="C1566" s="8">
        <f>pinyin(B1598)</f>
        <v/>
      </c>
      <c r="E1566" s="8">
        <f>IFERROR(__xludf.DUMMYFUNCTION("GOOGLETRANSLATE(B1598, ""zh"", ""vi"")"),"#VALUE!")</f>
        <v/>
      </c>
      <c r="H1566" s="9">
        <f>G1598=B1598</f>
        <v/>
      </c>
    </row>
    <row r="1567">
      <c r="B1567" s="11" t="n"/>
      <c r="C1567" s="8">
        <f>pinyin(B1599)</f>
        <v/>
      </c>
      <c r="E1567" s="8">
        <f>IFERROR(__xludf.DUMMYFUNCTION("GOOGLETRANSLATE(B1599, ""zh"", ""vi"")"),"#VALUE!")</f>
        <v/>
      </c>
      <c r="H1567" s="9">
        <f>G1599=B1599</f>
        <v/>
      </c>
    </row>
    <row r="1568">
      <c r="B1568" s="11" t="n"/>
      <c r="C1568" s="8">
        <f>pinyin(B1600)</f>
        <v/>
      </c>
      <c r="E1568" s="8">
        <f>IFERROR(__xludf.DUMMYFUNCTION("GOOGLETRANSLATE(B1600, ""zh"", ""vi"")"),"#VALUE!")</f>
        <v/>
      </c>
      <c r="H1568" s="9">
        <f>G1600=B1600</f>
        <v/>
      </c>
    </row>
    <row r="1569">
      <c r="B1569" s="11" t="n"/>
      <c r="C1569" s="8">
        <f>pinyin(B1601)</f>
        <v/>
      </c>
      <c r="E1569" s="8">
        <f>IFERROR(__xludf.DUMMYFUNCTION("GOOGLETRANSLATE(B1601, ""zh"", ""vi"")"),"#VALUE!")</f>
        <v/>
      </c>
      <c r="H1569" s="9">
        <f>G1601=B1601</f>
        <v/>
      </c>
    </row>
    <row r="1570">
      <c r="B1570" s="11" t="n"/>
      <c r="C1570" s="8">
        <f>pinyin(B1602)</f>
        <v/>
      </c>
      <c r="E1570" s="8">
        <f>IFERROR(__xludf.DUMMYFUNCTION("GOOGLETRANSLATE(B1602, ""zh"", ""vi"")"),"#VALUE!")</f>
        <v/>
      </c>
      <c r="H1570" s="9">
        <f>G1602=B1602</f>
        <v/>
      </c>
    </row>
    <row r="1571">
      <c r="B1571" s="11" t="n"/>
      <c r="C1571" s="8">
        <f>pinyin(B1603)</f>
        <v/>
      </c>
      <c r="E1571" s="8">
        <f>IFERROR(__xludf.DUMMYFUNCTION("GOOGLETRANSLATE(B1603, ""zh"", ""vi"")"),"#VALUE!")</f>
        <v/>
      </c>
      <c r="H1571" s="9">
        <f>G1603=B1603</f>
        <v/>
      </c>
    </row>
    <row r="1572">
      <c r="B1572" s="11" t="n"/>
      <c r="C1572" s="8">
        <f>pinyin(B1604)</f>
        <v/>
      </c>
      <c r="E1572" s="8">
        <f>IFERROR(__xludf.DUMMYFUNCTION("GOOGLETRANSLATE(B1604, ""zh"", ""vi"")"),"#VALUE!")</f>
        <v/>
      </c>
      <c r="H1572" s="9">
        <f>G1604=B1604</f>
        <v/>
      </c>
    </row>
    <row r="1573">
      <c r="B1573" s="11" t="n"/>
      <c r="C1573" s="8">
        <f>pinyin(B1605)</f>
        <v/>
      </c>
      <c r="E1573" s="8">
        <f>IFERROR(__xludf.DUMMYFUNCTION("GOOGLETRANSLATE(B1605, ""zh"", ""vi"")"),"#VALUE!")</f>
        <v/>
      </c>
      <c r="H1573" s="9">
        <f>G1605=B1605</f>
        <v/>
      </c>
    </row>
    <row r="1574">
      <c r="B1574" s="11" t="n"/>
      <c r="C1574" s="8">
        <f>pinyin(B1606)</f>
        <v/>
      </c>
      <c r="E1574" s="8">
        <f>IFERROR(__xludf.DUMMYFUNCTION("GOOGLETRANSLATE(B1606, ""zh"", ""vi"")"),"#VALUE!")</f>
        <v/>
      </c>
      <c r="H1574" s="9">
        <f>G1606=B1606</f>
        <v/>
      </c>
    </row>
    <row r="1575">
      <c r="B1575" s="11" t="n"/>
      <c r="C1575" s="8">
        <f>pinyin(B1607)</f>
        <v/>
      </c>
      <c r="E1575" s="8">
        <f>IFERROR(__xludf.DUMMYFUNCTION("GOOGLETRANSLATE(B1607, ""zh"", ""vi"")"),"#VALUE!")</f>
        <v/>
      </c>
      <c r="H1575" s="9">
        <f>G1607=B1607</f>
        <v/>
      </c>
    </row>
    <row r="1576">
      <c r="B1576" s="11" t="n"/>
      <c r="C1576" s="8">
        <f>pinyin(B1608)</f>
        <v/>
      </c>
      <c r="E1576" s="8">
        <f>IFERROR(__xludf.DUMMYFUNCTION("GOOGLETRANSLATE(B1608, ""zh"", ""vi"")"),"#VALUE!")</f>
        <v/>
      </c>
      <c r="H1576" s="9">
        <f>G1608=B1608</f>
        <v/>
      </c>
    </row>
    <row r="1577">
      <c r="B1577" s="11" t="n"/>
      <c r="C1577" s="8">
        <f>pinyin(B1609)</f>
        <v/>
      </c>
      <c r="E1577" s="8">
        <f>IFERROR(__xludf.DUMMYFUNCTION("GOOGLETRANSLATE(B1609, ""zh"", ""vi"")"),"#VALUE!")</f>
        <v/>
      </c>
      <c r="H1577" s="9">
        <f>G1609=B1609</f>
        <v/>
      </c>
    </row>
    <row r="1578">
      <c r="B1578" s="11" t="n"/>
      <c r="C1578" s="8">
        <f>pinyin(B1610)</f>
        <v/>
      </c>
      <c r="E1578" s="8">
        <f>IFERROR(__xludf.DUMMYFUNCTION("GOOGLETRANSLATE(B1610, ""zh"", ""vi"")"),"#VALUE!")</f>
        <v/>
      </c>
      <c r="H1578" s="9">
        <f>G1610=B1610</f>
        <v/>
      </c>
    </row>
    <row r="1579">
      <c r="B1579" s="11" t="n"/>
      <c r="C1579" s="8">
        <f>pinyin(B1611)</f>
        <v/>
      </c>
      <c r="E1579" s="8">
        <f>IFERROR(__xludf.DUMMYFUNCTION("GOOGLETRANSLATE(B1611, ""zh"", ""vi"")"),"#VALUE!")</f>
        <v/>
      </c>
      <c r="H1579" s="9">
        <f>G1611=B1611</f>
        <v/>
      </c>
    </row>
    <row r="1580">
      <c r="B1580" s="11" t="n"/>
      <c r="C1580" s="8">
        <f>pinyin(B1612)</f>
        <v/>
      </c>
      <c r="E1580" s="8">
        <f>IFERROR(__xludf.DUMMYFUNCTION("GOOGLETRANSLATE(B1612, ""zh"", ""vi"")"),"#VALUE!")</f>
        <v/>
      </c>
      <c r="H1580" s="9">
        <f>G1612=B1612</f>
        <v/>
      </c>
    </row>
    <row r="1581">
      <c r="B1581" s="11" t="n"/>
      <c r="C1581" s="8">
        <f>pinyin(B1613)</f>
        <v/>
      </c>
      <c r="E1581" s="8">
        <f>IFERROR(__xludf.DUMMYFUNCTION("GOOGLETRANSLATE(B1613, ""zh"", ""vi"")"),"#VALUE!")</f>
        <v/>
      </c>
      <c r="H1581" s="9">
        <f>G1613=B1613</f>
        <v/>
      </c>
    </row>
    <row r="1582">
      <c r="B1582" s="11" t="n"/>
      <c r="C1582" s="8">
        <f>pinyin(B1614)</f>
        <v/>
      </c>
      <c r="E1582" s="8">
        <f>IFERROR(__xludf.DUMMYFUNCTION("GOOGLETRANSLATE(B1614, ""zh"", ""vi"")"),"#VALUE!")</f>
        <v/>
      </c>
      <c r="H1582" s="9">
        <f>G1614=B1614</f>
        <v/>
      </c>
    </row>
    <row r="1583">
      <c r="B1583" s="11" t="n"/>
      <c r="C1583" s="8">
        <f>pinyin(B1615)</f>
        <v/>
      </c>
      <c r="E1583" s="8">
        <f>IFERROR(__xludf.DUMMYFUNCTION("GOOGLETRANSLATE(B1615, ""zh"", ""vi"")"),"#VALUE!")</f>
        <v/>
      </c>
      <c r="H1583" s="9">
        <f>G1615=B1615</f>
        <v/>
      </c>
    </row>
    <row r="1584">
      <c r="B1584" s="11" t="n"/>
      <c r="C1584" s="8">
        <f>pinyin(B1616)</f>
        <v/>
      </c>
      <c r="E1584" s="8">
        <f>IFERROR(__xludf.DUMMYFUNCTION("GOOGLETRANSLATE(B1616, ""zh"", ""vi"")"),"#VALUE!")</f>
        <v/>
      </c>
      <c r="H1584" s="9">
        <f>G1616=B1616</f>
        <v/>
      </c>
    </row>
    <row r="1585">
      <c r="B1585" s="11" t="n"/>
      <c r="C1585" s="8">
        <f>pinyin(B1617)</f>
        <v/>
      </c>
      <c r="E1585" s="8">
        <f>IFERROR(__xludf.DUMMYFUNCTION("GOOGLETRANSLATE(B1617, ""zh"", ""vi"")"),"#VALUE!")</f>
        <v/>
      </c>
      <c r="H1585" s="9">
        <f>G1617=B1617</f>
        <v/>
      </c>
    </row>
    <row r="1586">
      <c r="B1586" s="11" t="n"/>
      <c r="C1586" s="8">
        <f>pinyin(B1618)</f>
        <v/>
      </c>
      <c r="E1586" s="8">
        <f>IFERROR(__xludf.DUMMYFUNCTION("GOOGLETRANSLATE(B1618, ""zh"", ""vi"")"),"#VALUE!")</f>
        <v/>
      </c>
      <c r="H1586" s="9">
        <f>G1618=B1618</f>
        <v/>
      </c>
    </row>
    <row r="1587">
      <c r="B1587" s="11" t="n"/>
      <c r="C1587" s="8">
        <f>pinyin(B1619)</f>
        <v/>
      </c>
      <c r="E1587" s="8">
        <f>IFERROR(__xludf.DUMMYFUNCTION("GOOGLETRANSLATE(B1619, ""zh"", ""vi"")"),"#VALUE!")</f>
        <v/>
      </c>
      <c r="H1587" s="9">
        <f>G1619=B1619</f>
        <v/>
      </c>
    </row>
    <row r="1588">
      <c r="B1588" s="11" t="n"/>
      <c r="C1588" s="8">
        <f>pinyin(B1620)</f>
        <v/>
      </c>
      <c r="E1588" s="8">
        <f>IFERROR(__xludf.DUMMYFUNCTION("GOOGLETRANSLATE(B1620, ""zh"", ""vi"")"),"#VALUE!")</f>
        <v/>
      </c>
      <c r="H1588" s="9">
        <f>G1620=B1620</f>
        <v/>
      </c>
    </row>
    <row r="1589">
      <c r="B1589" s="11" t="n"/>
      <c r="C1589" s="8">
        <f>pinyin(B1621)</f>
        <v/>
      </c>
      <c r="E1589" s="8">
        <f>IFERROR(__xludf.DUMMYFUNCTION("GOOGLETRANSLATE(B1621, ""zh"", ""vi"")"),"#VALUE!")</f>
        <v/>
      </c>
      <c r="H1589" s="9">
        <f>G1621=B1621</f>
        <v/>
      </c>
    </row>
    <row r="1590">
      <c r="B1590" s="11" t="n"/>
      <c r="C1590" s="8">
        <f>pinyin(B1622)</f>
        <v/>
      </c>
      <c r="E1590" s="8">
        <f>IFERROR(__xludf.DUMMYFUNCTION("GOOGLETRANSLATE(B1622, ""zh"", ""vi"")"),"#VALUE!")</f>
        <v/>
      </c>
      <c r="H1590" s="9">
        <f>G1622=B1622</f>
        <v/>
      </c>
    </row>
    <row r="1591">
      <c r="B1591" s="11" t="n"/>
      <c r="C1591" s="8">
        <f>pinyin(B1623)</f>
        <v/>
      </c>
      <c r="E1591" s="8">
        <f>IFERROR(__xludf.DUMMYFUNCTION("GOOGLETRANSLATE(B1623, ""zh"", ""vi"")"),"#VALUE!")</f>
        <v/>
      </c>
      <c r="H1591" s="9">
        <f>G1623=B1623</f>
        <v/>
      </c>
    </row>
    <row r="1592">
      <c r="B1592" s="11" t="n"/>
      <c r="C1592" s="8">
        <f>pinyin(B1624)</f>
        <v/>
      </c>
      <c r="E1592" s="8">
        <f>IFERROR(__xludf.DUMMYFUNCTION("GOOGLETRANSLATE(B1624, ""zh"", ""vi"")"),"#VALUE!")</f>
        <v/>
      </c>
      <c r="H1592" s="9">
        <f>G1624=B1624</f>
        <v/>
      </c>
    </row>
    <row r="1593">
      <c r="B1593" s="11" t="n"/>
      <c r="C1593" s="8">
        <f>pinyin(B1625)</f>
        <v/>
      </c>
      <c r="E1593" s="8">
        <f>IFERROR(__xludf.DUMMYFUNCTION("GOOGLETRANSLATE(B1625, ""zh"", ""vi"")"),"#VALUE!")</f>
        <v/>
      </c>
      <c r="H1593" s="9">
        <f>G1625=B1625</f>
        <v/>
      </c>
    </row>
    <row r="1594">
      <c r="B1594" s="11" t="n"/>
      <c r="C1594" s="8">
        <f>pinyin(B1626)</f>
        <v/>
      </c>
      <c r="E1594" s="8">
        <f>IFERROR(__xludf.DUMMYFUNCTION("GOOGLETRANSLATE(B1626, ""zh"", ""vi"")"),"#VALUE!")</f>
        <v/>
      </c>
      <c r="H1594" s="9">
        <f>G1626=B1626</f>
        <v/>
      </c>
    </row>
    <row r="1595">
      <c r="B1595" s="11" t="n"/>
      <c r="C1595" s="8">
        <f>pinyin(B1627)</f>
        <v/>
      </c>
      <c r="E1595" s="8">
        <f>IFERROR(__xludf.DUMMYFUNCTION("GOOGLETRANSLATE(B1627, ""zh"", ""vi"")"),"#VALUE!")</f>
        <v/>
      </c>
      <c r="H1595" s="9">
        <f>G1627=B1627</f>
        <v/>
      </c>
    </row>
    <row r="1596">
      <c r="B1596" s="11" t="n"/>
      <c r="C1596" s="8">
        <f>pinyin(B1628)</f>
        <v/>
      </c>
      <c r="E1596" s="8">
        <f>IFERROR(__xludf.DUMMYFUNCTION("GOOGLETRANSLATE(B1628, ""zh"", ""vi"")"),"#VALUE!")</f>
        <v/>
      </c>
      <c r="H1596" s="9">
        <f>G1628=B1628</f>
        <v/>
      </c>
    </row>
    <row r="1597">
      <c r="B1597" s="11" t="n"/>
      <c r="C1597" s="8">
        <f>pinyin(B1629)</f>
        <v/>
      </c>
      <c r="E1597" s="8">
        <f>IFERROR(__xludf.DUMMYFUNCTION("GOOGLETRANSLATE(B1629, ""zh"", ""vi"")"),"#VALUE!")</f>
        <v/>
      </c>
      <c r="H1597" s="9">
        <f>G1629=B1629</f>
        <v/>
      </c>
    </row>
    <row r="1598">
      <c r="B1598" s="11" t="n"/>
      <c r="C1598" s="8">
        <f>pinyin(B1630)</f>
        <v/>
      </c>
      <c r="E1598" s="8">
        <f>IFERROR(__xludf.DUMMYFUNCTION("GOOGLETRANSLATE(B1630, ""zh"", ""vi"")"),"#VALUE!")</f>
        <v/>
      </c>
      <c r="H1598" s="9">
        <f>G1630=B1630</f>
        <v/>
      </c>
    </row>
    <row r="1599">
      <c r="B1599" s="11" t="n"/>
      <c r="C1599" s="8">
        <f>pinyin(B1631)</f>
        <v/>
      </c>
      <c r="E1599" s="8">
        <f>IFERROR(__xludf.DUMMYFUNCTION("GOOGLETRANSLATE(B1631, ""zh"", ""vi"")"),"#VALUE!")</f>
        <v/>
      </c>
      <c r="H1599" s="9">
        <f>G1631=B1631</f>
        <v/>
      </c>
    </row>
    <row r="1600">
      <c r="B1600" s="11" t="n"/>
      <c r="C1600" s="8">
        <f>pinyin(B1632)</f>
        <v/>
      </c>
      <c r="E1600" s="8">
        <f>IFERROR(__xludf.DUMMYFUNCTION("GOOGLETRANSLATE(B1632, ""zh"", ""vi"")"),"#VALUE!")</f>
        <v/>
      </c>
      <c r="H1600" s="9">
        <f>G1632=B1632</f>
        <v/>
      </c>
    </row>
    <row r="1601">
      <c r="B1601" s="11" t="n"/>
      <c r="C1601" s="8">
        <f>pinyin(B1633)</f>
        <v/>
      </c>
      <c r="E1601" s="8">
        <f>IFERROR(__xludf.DUMMYFUNCTION("GOOGLETRANSLATE(B1633, ""zh"", ""vi"")"),"#VALUE!")</f>
        <v/>
      </c>
      <c r="H1601" s="9">
        <f>G1633=B1633</f>
        <v/>
      </c>
    </row>
    <row r="1602">
      <c r="B1602" s="11" t="n"/>
      <c r="C1602" s="8">
        <f>pinyin(B1634)</f>
        <v/>
      </c>
      <c r="E1602" s="8">
        <f>IFERROR(__xludf.DUMMYFUNCTION("GOOGLETRANSLATE(B1634, ""zh"", ""vi"")"),"#VALUE!")</f>
        <v/>
      </c>
      <c r="H1602" s="9">
        <f>G1634=B1634</f>
        <v/>
      </c>
    </row>
    <row r="1603">
      <c r="B1603" s="11" t="n"/>
      <c r="C1603" s="8">
        <f>pinyin(B1635)</f>
        <v/>
      </c>
      <c r="E1603" s="8">
        <f>IFERROR(__xludf.DUMMYFUNCTION("GOOGLETRANSLATE(B1635, ""zh"", ""vi"")"),"#VALUE!")</f>
        <v/>
      </c>
      <c r="H1603" s="9">
        <f>G1635=B1635</f>
        <v/>
      </c>
    </row>
    <row r="1604">
      <c r="B1604" s="11" t="n"/>
      <c r="C1604" s="8">
        <f>pinyin(B1636)</f>
        <v/>
      </c>
      <c r="E1604" s="8">
        <f>IFERROR(__xludf.DUMMYFUNCTION("GOOGLETRANSLATE(B1636, ""zh"", ""vi"")"),"#VALUE!")</f>
        <v/>
      </c>
      <c r="H1604" s="9">
        <f>G1636=B1636</f>
        <v/>
      </c>
    </row>
    <row r="1605">
      <c r="B1605" s="11" t="n"/>
      <c r="C1605" s="8">
        <f>pinyin(B1637)</f>
        <v/>
      </c>
      <c r="E1605" s="8">
        <f>IFERROR(__xludf.DUMMYFUNCTION("GOOGLETRANSLATE(B1637, ""zh"", ""vi"")"),"#VALUE!")</f>
        <v/>
      </c>
      <c r="H1605" s="9">
        <f>G1637=B1637</f>
        <v/>
      </c>
    </row>
    <row r="1606">
      <c r="B1606" s="11" t="n"/>
      <c r="C1606" s="8">
        <f>pinyin(B1638)</f>
        <v/>
      </c>
      <c r="E1606" s="8">
        <f>IFERROR(__xludf.DUMMYFUNCTION("GOOGLETRANSLATE(B1638, ""zh"", ""vi"")"),"#VALUE!")</f>
        <v/>
      </c>
      <c r="H1606" s="9">
        <f>G1638=B1638</f>
        <v/>
      </c>
    </row>
    <row r="1607">
      <c r="B1607" s="11" t="n"/>
      <c r="C1607" s="8">
        <f>pinyin(B1639)</f>
        <v/>
      </c>
      <c r="E1607" s="8">
        <f>IFERROR(__xludf.DUMMYFUNCTION("GOOGLETRANSLATE(B1639, ""zh"", ""vi"")"),"#VALUE!")</f>
        <v/>
      </c>
      <c r="H1607" s="9">
        <f>G1639=B1639</f>
        <v/>
      </c>
    </row>
    <row r="1608">
      <c r="B1608" s="11" t="n"/>
      <c r="C1608" s="8">
        <f>pinyin(B1640)</f>
        <v/>
      </c>
      <c r="E1608" s="8">
        <f>IFERROR(__xludf.DUMMYFUNCTION("GOOGLETRANSLATE(B1640, ""zh"", ""vi"")"),"#VALUE!")</f>
        <v/>
      </c>
      <c r="H1608" s="9">
        <f>G1640=B1640</f>
        <v/>
      </c>
    </row>
    <row r="1609">
      <c r="B1609" s="11" t="n"/>
      <c r="C1609" s="8">
        <f>pinyin(B1641)</f>
        <v/>
      </c>
      <c r="E1609" s="8">
        <f>IFERROR(__xludf.DUMMYFUNCTION("GOOGLETRANSLATE(B1641, ""zh"", ""vi"")"),"#VALUE!")</f>
        <v/>
      </c>
      <c r="H1609" s="9">
        <f>G1641=B1641</f>
        <v/>
      </c>
    </row>
    <row r="1610">
      <c r="B1610" s="11" t="n"/>
      <c r="C1610" s="8">
        <f>pinyin(B1642)</f>
        <v/>
      </c>
      <c r="E1610" s="8">
        <f>IFERROR(__xludf.DUMMYFUNCTION("GOOGLETRANSLATE(B1642, ""zh"", ""vi"")"),"#VALUE!")</f>
        <v/>
      </c>
      <c r="H1610" s="9">
        <f>G1642=B1642</f>
        <v/>
      </c>
    </row>
    <row r="1611">
      <c r="B1611" s="11" t="n"/>
      <c r="C1611" s="8">
        <f>pinyin(B1643)</f>
        <v/>
      </c>
      <c r="E1611" s="8">
        <f>IFERROR(__xludf.DUMMYFUNCTION("GOOGLETRANSLATE(B1643, ""zh"", ""vi"")"),"#VALUE!")</f>
        <v/>
      </c>
      <c r="H1611" s="9">
        <f>G1643=B1643</f>
        <v/>
      </c>
    </row>
    <row r="1612">
      <c r="B1612" s="11" t="n"/>
      <c r="C1612" s="8">
        <f>pinyin(B1644)</f>
        <v/>
      </c>
      <c r="E1612" s="8">
        <f>IFERROR(__xludf.DUMMYFUNCTION("GOOGLETRANSLATE(B1644, ""zh"", ""vi"")"),"#VALUE!")</f>
        <v/>
      </c>
      <c r="H1612" s="9">
        <f>G1644=B1644</f>
        <v/>
      </c>
    </row>
    <row r="1613">
      <c r="B1613" s="11" t="n"/>
      <c r="C1613" s="8">
        <f>pinyin(B1645)</f>
        <v/>
      </c>
      <c r="E1613" s="8">
        <f>IFERROR(__xludf.DUMMYFUNCTION("GOOGLETRANSLATE(B1645, ""zh"", ""vi"")"),"#VALUE!")</f>
        <v/>
      </c>
      <c r="H1613" s="9">
        <f>G1645=B1645</f>
        <v/>
      </c>
    </row>
    <row r="1614">
      <c r="B1614" s="11" t="n"/>
      <c r="C1614" s="8">
        <f>pinyin(B1646)</f>
        <v/>
      </c>
      <c r="E1614" s="8">
        <f>IFERROR(__xludf.DUMMYFUNCTION("GOOGLETRANSLATE(B1646, ""zh"", ""vi"")"),"#VALUE!")</f>
        <v/>
      </c>
      <c r="H1614" s="9">
        <f>G1646=B1646</f>
        <v/>
      </c>
    </row>
    <row r="1615">
      <c r="B1615" s="11" t="n"/>
      <c r="C1615" s="8">
        <f>pinyin(B1647)</f>
        <v/>
      </c>
      <c r="E1615" s="8">
        <f>IFERROR(__xludf.DUMMYFUNCTION("GOOGLETRANSLATE(B1647, ""zh"", ""vi"")"),"#VALUE!")</f>
        <v/>
      </c>
      <c r="H1615" s="9">
        <f>G1647=B1647</f>
        <v/>
      </c>
    </row>
    <row r="1616">
      <c r="B1616" s="11" t="n"/>
      <c r="C1616" s="8">
        <f>pinyin(B1648)</f>
        <v/>
      </c>
      <c r="E1616" s="8">
        <f>IFERROR(__xludf.DUMMYFUNCTION("GOOGLETRANSLATE(B1648, ""zh"", ""vi"")"),"#VALUE!")</f>
        <v/>
      </c>
      <c r="H1616" s="9">
        <f>G1648=B1648</f>
        <v/>
      </c>
    </row>
    <row r="1617">
      <c r="B1617" s="11" t="n"/>
      <c r="C1617" s="8">
        <f>pinyin(B1649)</f>
        <v/>
      </c>
      <c r="E1617" s="8">
        <f>IFERROR(__xludf.DUMMYFUNCTION("GOOGLETRANSLATE(B1649, ""zh"", ""vi"")"),"#VALUE!")</f>
        <v/>
      </c>
      <c r="H1617" s="9">
        <f>G1649=B1649</f>
        <v/>
      </c>
    </row>
    <row r="1618">
      <c r="B1618" s="11" t="n"/>
      <c r="C1618" s="8">
        <f>pinyin(B1650)</f>
        <v/>
      </c>
      <c r="E1618" s="8">
        <f>IFERROR(__xludf.DUMMYFUNCTION("GOOGLETRANSLATE(B1650, ""zh"", ""vi"")"),"#VALUE!")</f>
        <v/>
      </c>
      <c r="H1618" s="9">
        <f>G1650=B1650</f>
        <v/>
      </c>
    </row>
    <row r="1619">
      <c r="B1619" s="11" t="n"/>
      <c r="C1619" s="8">
        <f>pinyin(B1651)</f>
        <v/>
      </c>
      <c r="E1619" s="8">
        <f>IFERROR(__xludf.DUMMYFUNCTION("GOOGLETRANSLATE(B1651, ""zh"", ""vi"")"),"#VALUE!")</f>
        <v/>
      </c>
      <c r="H1619" s="9">
        <f>G1651=B1651</f>
        <v/>
      </c>
    </row>
    <row r="1620">
      <c r="B1620" s="11" t="n"/>
      <c r="C1620" s="8">
        <f>pinyin(B1652)</f>
        <v/>
      </c>
      <c r="E1620" s="8">
        <f>IFERROR(__xludf.DUMMYFUNCTION("GOOGLETRANSLATE(B1652, ""zh"", ""vi"")"),"#VALUE!")</f>
        <v/>
      </c>
      <c r="H1620" s="9">
        <f>G1652=B1652</f>
        <v/>
      </c>
    </row>
    <row r="1621">
      <c r="B1621" s="11" t="n"/>
      <c r="C1621" s="8">
        <f>pinyin(B1653)</f>
        <v/>
      </c>
      <c r="E1621" s="8">
        <f>IFERROR(__xludf.DUMMYFUNCTION("GOOGLETRANSLATE(B1653, ""zh"", ""vi"")"),"#VALUE!")</f>
        <v/>
      </c>
      <c r="H1621" s="9">
        <f>G1653=B1653</f>
        <v/>
      </c>
    </row>
    <row r="1622">
      <c r="B1622" s="11" t="n"/>
      <c r="C1622" s="8">
        <f>pinyin(B1654)</f>
        <v/>
      </c>
      <c r="E1622" s="8">
        <f>IFERROR(__xludf.DUMMYFUNCTION("GOOGLETRANSLATE(B1654, ""zh"", ""vi"")"),"#VALUE!")</f>
        <v/>
      </c>
      <c r="H1622" s="9">
        <f>G1654=B1654</f>
        <v/>
      </c>
    </row>
    <row r="1623">
      <c r="B1623" s="11" t="n"/>
      <c r="C1623" s="8">
        <f>pinyin(B1655)</f>
        <v/>
      </c>
      <c r="E1623" s="8">
        <f>IFERROR(__xludf.DUMMYFUNCTION("GOOGLETRANSLATE(B1655, ""zh"", ""vi"")"),"#VALUE!")</f>
        <v/>
      </c>
      <c r="H1623" s="9">
        <f>G1655=B1655</f>
        <v/>
      </c>
    </row>
    <row r="1624">
      <c r="B1624" s="11" t="n"/>
      <c r="C1624" s="8">
        <f>pinyin(B1656)</f>
        <v/>
      </c>
      <c r="E1624" s="8">
        <f>IFERROR(__xludf.DUMMYFUNCTION("GOOGLETRANSLATE(B1656, ""zh"", ""vi"")"),"#VALUE!")</f>
        <v/>
      </c>
      <c r="H1624" s="9">
        <f>G1656=B1656</f>
        <v/>
      </c>
    </row>
    <row r="1625">
      <c r="B1625" s="11" t="n"/>
      <c r="C1625" s="8">
        <f>pinyin(B1657)</f>
        <v/>
      </c>
      <c r="E1625" s="8">
        <f>IFERROR(__xludf.DUMMYFUNCTION("GOOGLETRANSLATE(B1657, ""zh"", ""vi"")"),"#VALUE!")</f>
        <v/>
      </c>
      <c r="H1625" s="9">
        <f>G1657=B1657</f>
        <v/>
      </c>
    </row>
    <row r="1626">
      <c r="B1626" s="11" t="n"/>
      <c r="C1626" s="8">
        <f>pinyin(B1658)</f>
        <v/>
      </c>
      <c r="E1626" s="8">
        <f>IFERROR(__xludf.DUMMYFUNCTION("GOOGLETRANSLATE(B1658, ""zh"", ""vi"")"),"#VALUE!")</f>
        <v/>
      </c>
      <c r="H1626" s="9">
        <f>G1658=B1658</f>
        <v/>
      </c>
    </row>
    <row r="1627">
      <c r="B1627" s="11" t="n"/>
      <c r="C1627" s="8">
        <f>pinyin(B1659)</f>
        <v/>
      </c>
      <c r="E1627" s="8">
        <f>IFERROR(__xludf.DUMMYFUNCTION("GOOGLETRANSLATE(B1659, ""zh"", ""vi"")"),"#VALUE!")</f>
        <v/>
      </c>
      <c r="H1627" s="9">
        <f>G1659=B1659</f>
        <v/>
      </c>
    </row>
    <row r="1628">
      <c r="B1628" s="11" t="n"/>
      <c r="C1628" s="8">
        <f>pinyin(B1660)</f>
        <v/>
      </c>
      <c r="E1628" s="8">
        <f>IFERROR(__xludf.DUMMYFUNCTION("GOOGLETRANSLATE(B1660, ""zh"", ""vi"")"),"#VALUE!")</f>
        <v/>
      </c>
      <c r="H1628" s="9">
        <f>G1660=B1660</f>
        <v/>
      </c>
    </row>
    <row r="1629">
      <c r="B1629" s="11" t="n"/>
      <c r="C1629" s="8">
        <f>pinyin(B1661)</f>
        <v/>
      </c>
      <c r="E1629" s="8">
        <f>IFERROR(__xludf.DUMMYFUNCTION("GOOGLETRANSLATE(B1661, ""zh"", ""vi"")"),"#VALUE!")</f>
        <v/>
      </c>
      <c r="H1629" s="9">
        <f>G1661=B1661</f>
        <v/>
      </c>
    </row>
    <row r="1630">
      <c r="B1630" s="11" t="n"/>
      <c r="C1630" s="8">
        <f>pinyin(B1662)</f>
        <v/>
      </c>
      <c r="E1630" s="8">
        <f>IFERROR(__xludf.DUMMYFUNCTION("GOOGLETRANSLATE(B1662, ""zh"", ""vi"")"),"#VALUE!")</f>
        <v/>
      </c>
      <c r="H1630" s="9">
        <f>G1662=B1662</f>
        <v/>
      </c>
    </row>
    <row r="1631">
      <c r="B1631" s="11" t="n"/>
      <c r="C1631" s="8">
        <f>pinyin(B1663)</f>
        <v/>
      </c>
      <c r="E1631" s="8">
        <f>IFERROR(__xludf.DUMMYFUNCTION("GOOGLETRANSLATE(B1663, ""zh"", ""vi"")"),"#VALUE!")</f>
        <v/>
      </c>
      <c r="H1631" s="9">
        <f>G1663=B1663</f>
        <v/>
      </c>
    </row>
    <row r="1632">
      <c r="B1632" s="11" t="n"/>
      <c r="C1632" s="8">
        <f>pinyin(B1664)</f>
        <v/>
      </c>
      <c r="E1632" s="8">
        <f>IFERROR(__xludf.DUMMYFUNCTION("GOOGLETRANSLATE(B1664, ""zh"", ""vi"")"),"#VALUE!")</f>
        <v/>
      </c>
      <c r="H1632" s="9">
        <f>G1664=B1664</f>
        <v/>
      </c>
    </row>
    <row r="1633">
      <c r="B1633" s="11" t="n"/>
      <c r="C1633" s="8">
        <f>pinyin(B1665)</f>
        <v/>
      </c>
      <c r="E1633" s="8">
        <f>IFERROR(__xludf.DUMMYFUNCTION("GOOGLETRANSLATE(B1665, ""zh"", ""vi"")"),"#VALUE!")</f>
        <v/>
      </c>
      <c r="H1633" s="9">
        <f>G1665=B1665</f>
        <v/>
      </c>
    </row>
    <row r="1634">
      <c r="B1634" s="11" t="n"/>
      <c r="C1634" s="8">
        <f>pinyin(B1666)</f>
        <v/>
      </c>
      <c r="E1634" s="8">
        <f>IFERROR(__xludf.DUMMYFUNCTION("GOOGLETRANSLATE(B1666, ""zh"", ""vi"")"),"#VALUE!")</f>
        <v/>
      </c>
      <c r="H1634" s="9">
        <f>G1666=B1666</f>
        <v/>
      </c>
    </row>
    <row r="1635">
      <c r="B1635" s="11" t="n"/>
      <c r="C1635" s="8">
        <f>pinyin(B1667)</f>
        <v/>
      </c>
      <c r="E1635" s="8">
        <f>IFERROR(__xludf.DUMMYFUNCTION("GOOGLETRANSLATE(B1667, ""zh"", ""vi"")"),"#VALUE!")</f>
        <v/>
      </c>
      <c r="H1635" s="9">
        <f>G1667=B1667</f>
        <v/>
      </c>
    </row>
    <row r="1636">
      <c r="B1636" s="11" t="n"/>
      <c r="C1636" s="8">
        <f>pinyin(B1668)</f>
        <v/>
      </c>
      <c r="E1636" s="8">
        <f>IFERROR(__xludf.DUMMYFUNCTION("GOOGLETRANSLATE(B1668, ""zh"", ""vi"")"),"#VALUE!")</f>
        <v/>
      </c>
      <c r="H1636" s="9">
        <f>G1668=B1668</f>
        <v/>
      </c>
    </row>
    <row r="1637">
      <c r="B1637" s="11" t="n"/>
      <c r="C1637" s="8">
        <f>pinyin(B1669)</f>
        <v/>
      </c>
      <c r="E1637" s="8">
        <f>IFERROR(__xludf.DUMMYFUNCTION("GOOGLETRANSLATE(B1669, ""zh"", ""vi"")"),"#VALUE!")</f>
        <v/>
      </c>
      <c r="H1637" s="9">
        <f>G1669=B1669</f>
        <v/>
      </c>
    </row>
    <row r="1638">
      <c r="B1638" s="11" t="n"/>
      <c r="C1638" s="8">
        <f>pinyin(B1670)</f>
        <v/>
      </c>
      <c r="E1638" s="8">
        <f>IFERROR(__xludf.DUMMYFUNCTION("GOOGLETRANSLATE(B1670, ""zh"", ""vi"")"),"#VALUE!")</f>
        <v/>
      </c>
      <c r="H1638" s="9">
        <f>G1670=B1670</f>
        <v/>
      </c>
    </row>
    <row r="1639">
      <c r="B1639" s="11" t="n"/>
      <c r="C1639" s="8">
        <f>pinyin(B1671)</f>
        <v/>
      </c>
      <c r="E1639" s="8">
        <f>IFERROR(__xludf.DUMMYFUNCTION("GOOGLETRANSLATE(B1671, ""zh"", ""vi"")"),"#VALUE!")</f>
        <v/>
      </c>
      <c r="H1639" s="9">
        <f>G1671=B1671</f>
        <v/>
      </c>
    </row>
    <row r="1640">
      <c r="B1640" s="11" t="n"/>
      <c r="C1640" s="8">
        <f>pinyin(B1672)</f>
        <v/>
      </c>
      <c r="E1640" s="8">
        <f>IFERROR(__xludf.DUMMYFUNCTION("GOOGLETRANSLATE(B1672, ""zh"", ""vi"")"),"#VALUE!")</f>
        <v/>
      </c>
      <c r="H1640" s="9">
        <f>G1672=B1672</f>
        <v/>
      </c>
    </row>
    <row r="1641">
      <c r="B1641" s="11" t="n"/>
      <c r="C1641" s="8">
        <f>pinyin(B1673)</f>
        <v/>
      </c>
      <c r="E1641" s="8">
        <f>IFERROR(__xludf.DUMMYFUNCTION("GOOGLETRANSLATE(B1673, ""zh"", ""vi"")"),"#VALUE!")</f>
        <v/>
      </c>
      <c r="H1641" s="9">
        <f>G1673=B1673</f>
        <v/>
      </c>
    </row>
    <row r="1642">
      <c r="B1642" s="11" t="n"/>
      <c r="C1642" s="8">
        <f>pinyin(B1674)</f>
        <v/>
      </c>
      <c r="E1642" s="8">
        <f>IFERROR(__xludf.DUMMYFUNCTION("GOOGLETRANSLATE(B1674, ""zh"", ""vi"")"),"#VALUE!")</f>
        <v/>
      </c>
      <c r="H1642" s="9">
        <f>G1674=B1674</f>
        <v/>
      </c>
    </row>
    <row r="1643">
      <c r="B1643" s="11" t="n"/>
      <c r="C1643" s="8">
        <f>pinyin(B1675)</f>
        <v/>
      </c>
      <c r="E1643" s="8">
        <f>IFERROR(__xludf.DUMMYFUNCTION("GOOGLETRANSLATE(B1675, ""zh"", ""vi"")"),"#VALUE!")</f>
        <v/>
      </c>
      <c r="H1643" s="9">
        <f>G1675=B1675</f>
        <v/>
      </c>
    </row>
    <row r="1644">
      <c r="B1644" s="11" t="n"/>
      <c r="C1644" s="8">
        <f>pinyin(B1676)</f>
        <v/>
      </c>
      <c r="E1644" s="8">
        <f>IFERROR(__xludf.DUMMYFUNCTION("GOOGLETRANSLATE(B1676, ""zh"", ""vi"")"),"#VALUE!")</f>
        <v/>
      </c>
      <c r="H1644" s="9">
        <f>G1676=B1676</f>
        <v/>
      </c>
    </row>
    <row r="1645">
      <c r="B1645" s="11" t="n"/>
      <c r="C1645" s="8">
        <f>pinyin(B1677)</f>
        <v/>
      </c>
      <c r="E1645" s="8">
        <f>IFERROR(__xludf.DUMMYFUNCTION("GOOGLETRANSLATE(B1677, ""zh"", ""vi"")"),"#VALUE!")</f>
        <v/>
      </c>
      <c r="H1645" s="9">
        <f>G1677=B1677</f>
        <v/>
      </c>
    </row>
    <row r="1646">
      <c r="B1646" s="11" t="n"/>
      <c r="C1646" s="8">
        <f>pinyin(B1678)</f>
        <v/>
      </c>
      <c r="E1646" s="8">
        <f>IFERROR(__xludf.DUMMYFUNCTION("GOOGLETRANSLATE(B1678, ""zh"", ""vi"")"),"#VALUE!")</f>
        <v/>
      </c>
      <c r="H1646" s="9">
        <f>G1678=B1678</f>
        <v/>
      </c>
    </row>
    <row r="1647">
      <c r="B1647" s="11" t="n"/>
      <c r="C1647" s="8">
        <f>pinyin(B1679)</f>
        <v/>
      </c>
      <c r="E1647" s="8">
        <f>IFERROR(__xludf.DUMMYFUNCTION("GOOGLETRANSLATE(B1679, ""zh"", ""vi"")"),"#VALUE!")</f>
        <v/>
      </c>
      <c r="H1647" s="9">
        <f>G1679=B1679</f>
        <v/>
      </c>
    </row>
    <row r="1648">
      <c r="B1648" s="11" t="n"/>
      <c r="C1648" s="8">
        <f>pinyin(B1680)</f>
        <v/>
      </c>
      <c r="E1648" s="8">
        <f>IFERROR(__xludf.DUMMYFUNCTION("GOOGLETRANSLATE(B1680, ""zh"", ""vi"")"),"#VALUE!")</f>
        <v/>
      </c>
      <c r="H1648" s="9">
        <f>G1680=B1680</f>
        <v/>
      </c>
    </row>
    <row r="1649">
      <c r="B1649" s="11" t="n"/>
      <c r="C1649" s="8">
        <f>pinyin(B1681)</f>
        <v/>
      </c>
      <c r="E1649" s="8">
        <f>IFERROR(__xludf.DUMMYFUNCTION("GOOGLETRANSLATE(B1681, ""zh"", ""vi"")"),"#VALUE!")</f>
        <v/>
      </c>
      <c r="H1649" s="9">
        <f>G1681=B1681</f>
        <v/>
      </c>
    </row>
    <row r="1650">
      <c r="B1650" s="11" t="n"/>
      <c r="C1650" s="8">
        <f>pinyin(B1682)</f>
        <v/>
      </c>
      <c r="E1650" s="8">
        <f>IFERROR(__xludf.DUMMYFUNCTION("GOOGLETRANSLATE(B1682, ""zh"", ""vi"")"),"#VALUE!")</f>
        <v/>
      </c>
      <c r="H1650" s="9">
        <f>G1682=B1682</f>
        <v/>
      </c>
    </row>
    <row r="1651">
      <c r="B1651" s="11" t="n"/>
      <c r="C1651" s="8">
        <f>pinyin(B1683)</f>
        <v/>
      </c>
      <c r="E1651" s="8">
        <f>IFERROR(__xludf.DUMMYFUNCTION("GOOGLETRANSLATE(B1683, ""zh"", ""vi"")"),"#VALUE!")</f>
        <v/>
      </c>
      <c r="H1651" s="9">
        <f>G1683=B1683</f>
        <v/>
      </c>
    </row>
    <row r="1652">
      <c r="B1652" s="11" t="n"/>
      <c r="C1652" s="8">
        <f>pinyin(B1684)</f>
        <v/>
      </c>
      <c r="E1652" s="8">
        <f>IFERROR(__xludf.DUMMYFUNCTION("GOOGLETRANSLATE(B1684, ""zh"", ""vi"")"),"#VALUE!")</f>
        <v/>
      </c>
      <c r="H1652" s="9">
        <f>G1684=B1684</f>
        <v/>
      </c>
    </row>
    <row r="1653">
      <c r="B1653" s="11" t="n"/>
      <c r="C1653" s="8">
        <f>pinyin(B1685)</f>
        <v/>
      </c>
      <c r="E1653" s="8">
        <f>IFERROR(__xludf.DUMMYFUNCTION("GOOGLETRANSLATE(B1685, ""zh"", ""vi"")"),"#VALUE!")</f>
        <v/>
      </c>
      <c r="H1653" s="9">
        <f>G1685=B1685</f>
        <v/>
      </c>
    </row>
    <row r="1654">
      <c r="B1654" s="11" t="n"/>
      <c r="C1654" s="8">
        <f>pinyin(B1686)</f>
        <v/>
      </c>
      <c r="E1654" s="8">
        <f>IFERROR(__xludf.DUMMYFUNCTION("GOOGLETRANSLATE(B1686, ""zh"", ""vi"")"),"#VALUE!")</f>
        <v/>
      </c>
      <c r="H1654" s="9">
        <f>G1686=B1686</f>
        <v/>
      </c>
    </row>
    <row r="1655">
      <c r="B1655" s="11" t="n"/>
      <c r="C1655" s="8">
        <f>pinyin(B1687)</f>
        <v/>
      </c>
      <c r="E1655" s="8">
        <f>IFERROR(__xludf.DUMMYFUNCTION("GOOGLETRANSLATE(B1687, ""zh"", ""vi"")"),"#VALUE!")</f>
        <v/>
      </c>
      <c r="H1655" s="9">
        <f>G1687=B1687</f>
        <v/>
      </c>
    </row>
    <row r="1656">
      <c r="B1656" s="11" t="n"/>
      <c r="C1656" s="8">
        <f>pinyin(B1688)</f>
        <v/>
      </c>
      <c r="E1656" s="8">
        <f>IFERROR(__xludf.DUMMYFUNCTION("GOOGLETRANSLATE(B1688, ""zh"", ""vi"")"),"#VALUE!")</f>
        <v/>
      </c>
      <c r="H1656" s="9">
        <f>G1688=B1688</f>
        <v/>
      </c>
    </row>
    <row r="1657">
      <c r="B1657" s="11" t="n"/>
      <c r="C1657" s="8">
        <f>pinyin(B1689)</f>
        <v/>
      </c>
      <c r="E1657" s="8">
        <f>IFERROR(__xludf.DUMMYFUNCTION("GOOGLETRANSLATE(B1689, ""zh"", ""vi"")"),"#VALUE!")</f>
        <v/>
      </c>
      <c r="H1657" s="9">
        <f>G1689=B1689</f>
        <v/>
      </c>
    </row>
    <row r="1658">
      <c r="B1658" s="11" t="n"/>
      <c r="C1658" s="8">
        <f>pinyin(B1690)</f>
        <v/>
      </c>
      <c r="E1658" s="8">
        <f>IFERROR(__xludf.DUMMYFUNCTION("GOOGLETRANSLATE(B1690, ""zh"", ""vi"")"),"#VALUE!")</f>
        <v/>
      </c>
      <c r="H1658" s="9">
        <f>G1690=B1690</f>
        <v/>
      </c>
    </row>
    <row r="1659">
      <c r="B1659" s="11" t="n"/>
      <c r="C1659" s="8">
        <f>pinyin(B1691)</f>
        <v/>
      </c>
      <c r="E1659" s="8">
        <f>IFERROR(__xludf.DUMMYFUNCTION("GOOGLETRANSLATE(B1691, ""zh"", ""vi"")"),"#VALUE!")</f>
        <v/>
      </c>
      <c r="H1659" s="9">
        <f>G1691=B1691</f>
        <v/>
      </c>
    </row>
    <row r="1660">
      <c r="B1660" s="11" t="n"/>
      <c r="C1660" s="8">
        <f>pinyin(B1692)</f>
        <v/>
      </c>
      <c r="E1660" s="8">
        <f>IFERROR(__xludf.DUMMYFUNCTION("GOOGLETRANSLATE(B1692, ""zh"", ""vi"")"),"#VALUE!")</f>
        <v/>
      </c>
      <c r="H1660" s="9">
        <f>G1692=B1692</f>
        <v/>
      </c>
    </row>
    <row r="1661">
      <c r="B1661" s="11" t="n"/>
      <c r="C1661" s="8">
        <f>pinyin(B1693)</f>
        <v/>
      </c>
      <c r="E1661" s="8">
        <f>IFERROR(__xludf.DUMMYFUNCTION("GOOGLETRANSLATE(B1693, ""zh"", ""vi"")"),"#VALUE!")</f>
        <v/>
      </c>
      <c r="H1661" s="9">
        <f>G1693=B1693</f>
        <v/>
      </c>
    </row>
    <row r="1662">
      <c r="B1662" s="11" t="n"/>
      <c r="C1662" s="8">
        <f>pinyin(B1694)</f>
        <v/>
      </c>
      <c r="E1662" s="8">
        <f>IFERROR(__xludf.DUMMYFUNCTION("GOOGLETRANSLATE(B1694, ""zh"", ""vi"")"),"#VALUE!")</f>
        <v/>
      </c>
      <c r="H1662" s="9">
        <f>G1694=B1694</f>
        <v/>
      </c>
    </row>
    <row r="1663">
      <c r="B1663" s="11" t="n"/>
      <c r="C1663" s="8">
        <f>pinyin(B1695)</f>
        <v/>
      </c>
      <c r="E1663" s="8">
        <f>IFERROR(__xludf.DUMMYFUNCTION("GOOGLETRANSLATE(B1695, ""zh"", ""vi"")"),"#VALUE!")</f>
        <v/>
      </c>
      <c r="H1663" s="9">
        <f>G1695=B1695</f>
        <v/>
      </c>
    </row>
    <row r="1664">
      <c r="B1664" s="11" t="n"/>
      <c r="C1664" s="8">
        <f>pinyin(B1696)</f>
        <v/>
      </c>
      <c r="E1664" s="8">
        <f>IFERROR(__xludf.DUMMYFUNCTION("GOOGLETRANSLATE(B1696, ""zh"", ""vi"")"),"#VALUE!")</f>
        <v/>
      </c>
      <c r="H1664" s="9">
        <f>G1696=B1696</f>
        <v/>
      </c>
    </row>
    <row r="1665">
      <c r="B1665" s="11" t="n"/>
      <c r="C1665" s="8">
        <f>pinyin(B1697)</f>
        <v/>
      </c>
      <c r="E1665" s="8">
        <f>IFERROR(__xludf.DUMMYFUNCTION("GOOGLETRANSLATE(B1697, ""zh"", ""vi"")"),"#VALUE!")</f>
        <v/>
      </c>
      <c r="H1665" s="9">
        <f>G1697=B1697</f>
        <v/>
      </c>
    </row>
    <row r="1666">
      <c r="B1666" s="11" t="n"/>
      <c r="C1666" s="8">
        <f>pinyin(B1698)</f>
        <v/>
      </c>
      <c r="E1666" s="8">
        <f>IFERROR(__xludf.DUMMYFUNCTION("GOOGLETRANSLATE(B1698, ""zh"", ""vi"")"),"#VALUE!")</f>
        <v/>
      </c>
      <c r="H1666" s="9">
        <f>G1698=B1698</f>
        <v/>
      </c>
    </row>
    <row r="1667">
      <c r="B1667" s="11" t="n"/>
      <c r="C1667" s="8">
        <f>pinyin(B1699)</f>
        <v/>
      </c>
      <c r="E1667" s="8">
        <f>IFERROR(__xludf.DUMMYFUNCTION("GOOGLETRANSLATE(B1699, ""zh"", ""vi"")"),"#VALUE!")</f>
        <v/>
      </c>
      <c r="H1667" s="9">
        <f>G1699=B1699</f>
        <v/>
      </c>
    </row>
    <row r="1668">
      <c r="B1668" s="11" t="n"/>
      <c r="C1668" s="8">
        <f>pinyin(B1700)</f>
        <v/>
      </c>
      <c r="E1668" s="8">
        <f>IFERROR(__xludf.DUMMYFUNCTION("GOOGLETRANSLATE(B1700, ""zh"", ""vi"")"),"#VALUE!")</f>
        <v/>
      </c>
      <c r="H1668" s="9">
        <f>G1700=B1700</f>
        <v/>
      </c>
    </row>
    <row r="1669">
      <c r="B1669" s="11" t="n"/>
      <c r="C1669" s="8">
        <f>pinyin(B1701)</f>
        <v/>
      </c>
      <c r="E1669" s="8">
        <f>IFERROR(__xludf.DUMMYFUNCTION("GOOGLETRANSLATE(B1701, ""zh"", ""vi"")"),"#VALUE!")</f>
        <v/>
      </c>
      <c r="H1669" s="9">
        <f>G1701=B1701</f>
        <v/>
      </c>
    </row>
    <row r="1670">
      <c r="B1670" s="11" t="n"/>
      <c r="C1670" s="8">
        <f>pinyin(B1702)</f>
        <v/>
      </c>
      <c r="E1670" s="8">
        <f>IFERROR(__xludf.DUMMYFUNCTION("GOOGLETRANSLATE(B1702, ""zh"", ""vi"")"),"#VALUE!")</f>
        <v/>
      </c>
      <c r="H1670" s="9">
        <f>G1702=B1702</f>
        <v/>
      </c>
    </row>
    <row r="1671">
      <c r="B1671" s="11" t="n"/>
      <c r="C1671" s="8">
        <f>pinyin(B1703)</f>
        <v/>
      </c>
      <c r="E1671" s="8">
        <f>IFERROR(__xludf.DUMMYFUNCTION("GOOGLETRANSLATE(B1703, ""zh"", ""vi"")"),"#VALUE!")</f>
        <v/>
      </c>
      <c r="H1671" s="9">
        <f>G1703=B1703</f>
        <v/>
      </c>
    </row>
    <row r="1672">
      <c r="B1672" s="11" t="n"/>
      <c r="C1672" s="8">
        <f>pinyin(B1704)</f>
        <v/>
      </c>
      <c r="E1672" s="8">
        <f>IFERROR(__xludf.DUMMYFUNCTION("GOOGLETRANSLATE(B1704, ""zh"", ""vi"")"),"#VALUE!")</f>
        <v/>
      </c>
      <c r="H1672" s="9">
        <f>G1704=B1704</f>
        <v/>
      </c>
    </row>
    <row r="1673">
      <c r="B1673" s="11" t="n"/>
      <c r="C1673" s="8">
        <f>pinyin(B1705)</f>
        <v/>
      </c>
      <c r="E1673" s="8">
        <f>IFERROR(__xludf.DUMMYFUNCTION("GOOGLETRANSLATE(B1705, ""zh"", ""vi"")"),"#VALUE!")</f>
        <v/>
      </c>
      <c r="H1673" s="9">
        <f>G1705=B1705</f>
        <v/>
      </c>
    </row>
    <row r="1674">
      <c r="B1674" s="11" t="n"/>
      <c r="C1674" s="8">
        <f>pinyin(B1706)</f>
        <v/>
      </c>
      <c r="E1674" s="8">
        <f>IFERROR(__xludf.DUMMYFUNCTION("GOOGLETRANSLATE(B1706, ""zh"", ""vi"")"),"#VALUE!")</f>
        <v/>
      </c>
      <c r="H1674" s="9">
        <f>G1706=B1706</f>
        <v/>
      </c>
    </row>
    <row r="1675">
      <c r="B1675" s="11" t="n"/>
      <c r="C1675" s="8">
        <f>pinyin(B1707)</f>
        <v/>
      </c>
      <c r="E1675" s="8">
        <f>IFERROR(__xludf.DUMMYFUNCTION("GOOGLETRANSLATE(B1707, ""zh"", ""vi"")"),"#VALUE!")</f>
        <v/>
      </c>
      <c r="H1675" s="9">
        <f>G1707=B1707</f>
        <v/>
      </c>
    </row>
    <row r="1676">
      <c r="B1676" s="11" t="n"/>
      <c r="C1676" s="8">
        <f>pinyin(B1708)</f>
        <v/>
      </c>
      <c r="E1676" s="8">
        <f>IFERROR(__xludf.DUMMYFUNCTION("GOOGLETRANSLATE(B1708, ""zh"", ""vi"")"),"#VALUE!")</f>
        <v/>
      </c>
      <c r="H1676" s="9">
        <f>G1708=B1708</f>
        <v/>
      </c>
    </row>
    <row r="1677">
      <c r="B1677" s="11" t="n"/>
      <c r="C1677" s="8">
        <f>pinyin(B1709)</f>
        <v/>
      </c>
      <c r="E1677" s="8">
        <f>IFERROR(__xludf.DUMMYFUNCTION("GOOGLETRANSLATE(B1709, ""zh"", ""vi"")"),"#VALUE!")</f>
        <v/>
      </c>
      <c r="H1677" s="9">
        <f>G1709=B1709</f>
        <v/>
      </c>
    </row>
    <row r="1678">
      <c r="B1678" s="11" t="n"/>
      <c r="C1678" s="8">
        <f>pinyin(B1710)</f>
        <v/>
      </c>
      <c r="E1678" s="8">
        <f>IFERROR(__xludf.DUMMYFUNCTION("GOOGLETRANSLATE(B1710, ""zh"", ""vi"")"),"#VALUE!")</f>
        <v/>
      </c>
      <c r="H1678" s="9">
        <f>G1710=B1710</f>
        <v/>
      </c>
    </row>
    <row r="1679">
      <c r="B1679" s="11" t="n"/>
      <c r="C1679" s="8">
        <f>pinyin(B1711)</f>
        <v/>
      </c>
      <c r="E1679" s="8">
        <f>IFERROR(__xludf.DUMMYFUNCTION("GOOGLETRANSLATE(B1711, ""zh"", ""vi"")"),"#VALUE!")</f>
        <v/>
      </c>
      <c r="H1679" s="9">
        <f>G1711=B1711</f>
        <v/>
      </c>
    </row>
    <row r="1680">
      <c r="B1680" s="11" t="n"/>
      <c r="C1680" s="8">
        <f>pinyin(B1712)</f>
        <v/>
      </c>
      <c r="E1680" s="8">
        <f>IFERROR(__xludf.DUMMYFUNCTION("GOOGLETRANSLATE(B1712, ""zh"", ""vi"")"),"#VALUE!")</f>
        <v/>
      </c>
      <c r="H1680" s="9">
        <f>G1712=B1712</f>
        <v/>
      </c>
    </row>
    <row r="1681">
      <c r="B1681" s="11" t="n"/>
      <c r="C1681" s="8">
        <f>pinyin(B1713)</f>
        <v/>
      </c>
      <c r="E1681" s="8">
        <f>IFERROR(__xludf.DUMMYFUNCTION("GOOGLETRANSLATE(B1713, ""zh"", ""vi"")"),"#VALUE!")</f>
        <v/>
      </c>
      <c r="H1681" s="9">
        <f>G1713=B1713</f>
        <v/>
      </c>
    </row>
    <row r="1682">
      <c r="B1682" s="11" t="n"/>
      <c r="C1682" s="8">
        <f>pinyin(B1714)</f>
        <v/>
      </c>
      <c r="E1682" s="8">
        <f>IFERROR(__xludf.DUMMYFUNCTION("GOOGLETRANSLATE(B1714, ""zh"", ""vi"")"),"#VALUE!")</f>
        <v/>
      </c>
      <c r="H1682" s="9">
        <f>G1714=B1714</f>
        <v/>
      </c>
    </row>
    <row r="1683">
      <c r="B1683" s="11" t="n"/>
      <c r="C1683" s="8">
        <f>pinyin(B1715)</f>
        <v/>
      </c>
      <c r="E1683" s="8">
        <f>IFERROR(__xludf.DUMMYFUNCTION("GOOGLETRANSLATE(B1715, ""zh"", ""vi"")"),"#VALUE!")</f>
        <v/>
      </c>
      <c r="H1683" s="9">
        <f>G1715=B1715</f>
        <v/>
      </c>
    </row>
    <row r="1684">
      <c r="B1684" s="11" t="n"/>
      <c r="C1684" s="8">
        <f>pinyin(B1716)</f>
        <v/>
      </c>
      <c r="E1684" s="8">
        <f>IFERROR(__xludf.DUMMYFUNCTION("GOOGLETRANSLATE(B1716, ""zh"", ""vi"")"),"#VALUE!")</f>
        <v/>
      </c>
      <c r="H1684" s="9">
        <f>G1716=B1716</f>
        <v/>
      </c>
    </row>
    <row r="1685">
      <c r="B1685" s="11" t="n"/>
      <c r="C1685" s="8">
        <f>pinyin(B1717)</f>
        <v/>
      </c>
      <c r="E1685" s="8">
        <f>IFERROR(__xludf.DUMMYFUNCTION("GOOGLETRANSLATE(B1717, ""zh"", ""vi"")"),"#VALUE!")</f>
        <v/>
      </c>
      <c r="H1685" s="9">
        <f>G1717=B1717</f>
        <v/>
      </c>
    </row>
    <row r="1686">
      <c r="B1686" s="11" t="n"/>
      <c r="C1686" s="8">
        <f>pinyin(B1718)</f>
        <v/>
      </c>
      <c r="E1686" s="8">
        <f>IFERROR(__xludf.DUMMYFUNCTION("GOOGLETRANSLATE(B1718, ""zh"", ""vi"")"),"#VALUE!")</f>
        <v/>
      </c>
      <c r="H1686" s="9">
        <f>G1718=B1718</f>
        <v/>
      </c>
    </row>
    <row r="1687">
      <c r="B1687" s="11" t="n"/>
      <c r="C1687" s="8">
        <f>pinyin(B1719)</f>
        <v/>
      </c>
      <c r="E1687" s="8">
        <f>IFERROR(__xludf.DUMMYFUNCTION("GOOGLETRANSLATE(B1719, ""zh"", ""vi"")"),"#VALUE!")</f>
        <v/>
      </c>
      <c r="H1687" s="9">
        <f>G1719=B1719</f>
        <v/>
      </c>
    </row>
    <row r="1688">
      <c r="B1688" s="11" t="n"/>
      <c r="C1688" s="8">
        <f>pinyin(B1720)</f>
        <v/>
      </c>
      <c r="E1688" s="8">
        <f>IFERROR(__xludf.DUMMYFUNCTION("GOOGLETRANSLATE(B1720, ""zh"", ""vi"")"),"#VALUE!")</f>
        <v/>
      </c>
      <c r="H1688" s="9">
        <f>G1720=B1720</f>
        <v/>
      </c>
    </row>
    <row r="1689">
      <c r="B1689" s="11" t="n"/>
      <c r="C1689" s="8">
        <f>pinyin(B1721)</f>
        <v/>
      </c>
      <c r="E1689" s="8">
        <f>IFERROR(__xludf.DUMMYFUNCTION("GOOGLETRANSLATE(B1721, ""zh"", ""vi"")"),"#VALUE!")</f>
        <v/>
      </c>
      <c r="H1689" s="9">
        <f>G1721=B1721</f>
        <v/>
      </c>
    </row>
    <row r="1690">
      <c r="B1690" s="11" t="n"/>
      <c r="C1690" s="8">
        <f>pinyin(B1722)</f>
        <v/>
      </c>
      <c r="E1690" s="8">
        <f>IFERROR(__xludf.DUMMYFUNCTION("GOOGLETRANSLATE(B1722, ""zh"", ""vi"")"),"#VALUE!")</f>
        <v/>
      </c>
      <c r="H1690" s="9">
        <f>G1722=B1722</f>
        <v/>
      </c>
    </row>
    <row r="1691">
      <c r="B1691" s="11" t="n"/>
      <c r="C1691" s="8">
        <f>pinyin(B1723)</f>
        <v/>
      </c>
      <c r="E1691" s="8">
        <f>IFERROR(__xludf.DUMMYFUNCTION("GOOGLETRANSLATE(B1723, ""zh"", ""vi"")"),"#VALUE!")</f>
        <v/>
      </c>
      <c r="H1691" s="9">
        <f>G1723=B1723</f>
        <v/>
      </c>
    </row>
    <row r="1692">
      <c r="B1692" s="11" t="n"/>
      <c r="C1692" s="8">
        <f>pinyin(B1724)</f>
        <v/>
      </c>
      <c r="E1692" s="8">
        <f>IFERROR(__xludf.DUMMYFUNCTION("GOOGLETRANSLATE(B1724, ""zh"", ""vi"")"),"#VALUE!")</f>
        <v/>
      </c>
      <c r="H1692" s="9">
        <f>G1724=B1724</f>
        <v/>
      </c>
    </row>
    <row r="1693">
      <c r="B1693" s="11" t="n"/>
      <c r="C1693" s="8">
        <f>pinyin(B1725)</f>
        <v/>
      </c>
      <c r="E1693" s="8">
        <f>IFERROR(__xludf.DUMMYFUNCTION("GOOGLETRANSLATE(B1725, ""zh"", ""vi"")"),"#VALUE!")</f>
        <v/>
      </c>
      <c r="H1693" s="9">
        <f>G1725=B1725</f>
        <v/>
      </c>
    </row>
    <row r="1694">
      <c r="B1694" s="11" t="n"/>
      <c r="C1694" s="8">
        <f>pinyin(B1726)</f>
        <v/>
      </c>
      <c r="E1694" s="8">
        <f>IFERROR(__xludf.DUMMYFUNCTION("GOOGLETRANSLATE(B1726, ""zh"", ""vi"")"),"#VALUE!")</f>
        <v/>
      </c>
      <c r="H1694" s="9">
        <f>G1726=B1726</f>
        <v/>
      </c>
    </row>
    <row r="1695">
      <c r="B1695" s="11" t="n"/>
      <c r="C1695" s="8">
        <f>pinyin(B1727)</f>
        <v/>
      </c>
      <c r="E1695" s="8">
        <f>IFERROR(__xludf.DUMMYFUNCTION("GOOGLETRANSLATE(B1727, ""zh"", ""vi"")"),"#VALUE!")</f>
        <v/>
      </c>
      <c r="H1695" s="9">
        <f>G1727=B1727</f>
        <v/>
      </c>
    </row>
    <row r="1696">
      <c r="B1696" s="11" t="n"/>
      <c r="C1696" s="8">
        <f>pinyin(B1728)</f>
        <v/>
      </c>
      <c r="E1696" s="8">
        <f>IFERROR(__xludf.DUMMYFUNCTION("GOOGLETRANSLATE(B1728, ""zh"", ""vi"")"),"#VALUE!")</f>
        <v/>
      </c>
      <c r="H1696" s="9">
        <f>G1728=B1728</f>
        <v/>
      </c>
    </row>
    <row r="1697">
      <c r="B1697" s="11" t="n"/>
      <c r="C1697" s="8">
        <f>pinyin(B1729)</f>
        <v/>
      </c>
      <c r="E1697" s="8">
        <f>IFERROR(__xludf.DUMMYFUNCTION("GOOGLETRANSLATE(B1729, ""zh"", ""vi"")"),"#VALUE!")</f>
        <v/>
      </c>
      <c r="H1697" s="9">
        <f>G1729=B1729</f>
        <v/>
      </c>
    </row>
    <row r="1698">
      <c r="B1698" s="11" t="n"/>
      <c r="C1698" s="8">
        <f>pinyin(B1730)</f>
        <v/>
      </c>
      <c r="E1698" s="8">
        <f>IFERROR(__xludf.DUMMYFUNCTION("GOOGLETRANSLATE(B1730, ""zh"", ""vi"")"),"#VALUE!")</f>
        <v/>
      </c>
      <c r="H1698" s="9">
        <f>G1730=B1730</f>
        <v/>
      </c>
    </row>
    <row r="1699">
      <c r="B1699" s="11" t="n"/>
      <c r="C1699" s="8">
        <f>pinyin(B1731)</f>
        <v/>
      </c>
      <c r="E1699" s="8">
        <f>IFERROR(__xludf.DUMMYFUNCTION("GOOGLETRANSLATE(B1731, ""zh"", ""vi"")"),"#VALUE!")</f>
        <v/>
      </c>
      <c r="H1699" s="9">
        <f>G1731=B1731</f>
        <v/>
      </c>
    </row>
    <row r="1700">
      <c r="B1700" s="11" t="n"/>
      <c r="C1700" s="8">
        <f>pinyin(B1732)</f>
        <v/>
      </c>
      <c r="E1700" s="8">
        <f>IFERROR(__xludf.DUMMYFUNCTION("GOOGLETRANSLATE(B1732, ""zh"", ""vi"")"),"#VALUE!")</f>
        <v/>
      </c>
      <c r="H1700" s="9">
        <f>G1732=B1732</f>
        <v/>
      </c>
    </row>
    <row r="1701">
      <c r="B1701" s="11" t="n"/>
      <c r="C1701" s="8">
        <f>pinyin(B1733)</f>
        <v/>
      </c>
      <c r="E1701" s="8">
        <f>IFERROR(__xludf.DUMMYFUNCTION("GOOGLETRANSLATE(B1733, ""zh"", ""vi"")"),"#VALUE!")</f>
        <v/>
      </c>
      <c r="H1701" s="9">
        <f>G1733=B1733</f>
        <v/>
      </c>
    </row>
    <row r="1702">
      <c r="B1702" s="11" t="n"/>
      <c r="C1702" s="8">
        <f>pinyin(B1734)</f>
        <v/>
      </c>
      <c r="E1702" s="8">
        <f>IFERROR(__xludf.DUMMYFUNCTION("GOOGLETRANSLATE(B1734, ""zh"", ""vi"")"),"#VALUE!")</f>
        <v/>
      </c>
      <c r="H1702" s="9">
        <f>G1734=B1734</f>
        <v/>
      </c>
    </row>
    <row r="1703">
      <c r="B1703" s="11" t="n"/>
      <c r="C1703" s="8">
        <f>pinyin(B1735)</f>
        <v/>
      </c>
      <c r="E1703" s="8">
        <f>IFERROR(__xludf.DUMMYFUNCTION("GOOGLETRANSLATE(B1735, ""zh"", ""vi"")"),"#VALUE!")</f>
        <v/>
      </c>
      <c r="H1703" s="9">
        <f>G1735=B1735</f>
        <v/>
      </c>
    </row>
    <row r="1704">
      <c r="B1704" s="11" t="n"/>
      <c r="C1704" s="8">
        <f>pinyin(B1736)</f>
        <v/>
      </c>
      <c r="E1704" s="8">
        <f>IFERROR(__xludf.DUMMYFUNCTION("GOOGLETRANSLATE(B1736, ""zh"", ""vi"")"),"#VALUE!")</f>
        <v/>
      </c>
      <c r="H1704" s="9">
        <f>G1736=B1736</f>
        <v/>
      </c>
    </row>
    <row r="1705">
      <c r="B1705" s="11" t="n"/>
      <c r="C1705" s="8">
        <f>pinyin(B1737)</f>
        <v/>
      </c>
      <c r="E1705" s="8">
        <f>IFERROR(__xludf.DUMMYFUNCTION("GOOGLETRANSLATE(B1737, ""zh"", ""vi"")"),"#VALUE!")</f>
        <v/>
      </c>
      <c r="H1705" s="9">
        <f>G1737=B1737</f>
        <v/>
      </c>
    </row>
    <row r="1706">
      <c r="B1706" s="11" t="n"/>
      <c r="C1706" s="8">
        <f>pinyin(B1738)</f>
        <v/>
      </c>
      <c r="E1706" s="8">
        <f>IFERROR(__xludf.DUMMYFUNCTION("GOOGLETRANSLATE(B1738, ""zh"", ""vi"")"),"#VALUE!")</f>
        <v/>
      </c>
      <c r="H1706" s="9">
        <f>G1738=B1738</f>
        <v/>
      </c>
    </row>
    <row r="1707">
      <c r="B1707" s="11" t="n"/>
      <c r="C1707" s="8">
        <f>pinyin(B1739)</f>
        <v/>
      </c>
      <c r="E1707" s="8">
        <f>IFERROR(__xludf.DUMMYFUNCTION("GOOGLETRANSLATE(B1739, ""zh"", ""vi"")"),"#VALUE!")</f>
        <v/>
      </c>
      <c r="H1707" s="9">
        <f>G1739=B1739</f>
        <v/>
      </c>
    </row>
    <row r="1708">
      <c r="B1708" s="11" t="n"/>
      <c r="C1708" s="8">
        <f>pinyin(B1740)</f>
        <v/>
      </c>
      <c r="E1708" s="8">
        <f>IFERROR(__xludf.DUMMYFUNCTION("GOOGLETRANSLATE(B1740, ""zh"", ""vi"")"),"#VALUE!")</f>
        <v/>
      </c>
      <c r="H1708" s="9">
        <f>G1740=B1740</f>
        <v/>
      </c>
    </row>
    <row r="1709">
      <c r="B1709" s="11" t="n"/>
      <c r="C1709" s="8">
        <f>pinyin(B1741)</f>
        <v/>
      </c>
      <c r="E1709" s="8">
        <f>IFERROR(__xludf.DUMMYFUNCTION("GOOGLETRANSLATE(B1741, ""zh"", ""vi"")"),"#VALUE!")</f>
        <v/>
      </c>
      <c r="H1709" s="9">
        <f>G1741=B1741</f>
        <v/>
      </c>
    </row>
    <row r="1710">
      <c r="B1710" s="11" t="n"/>
      <c r="C1710" s="8">
        <f>pinyin(B1742)</f>
        <v/>
      </c>
      <c r="E1710" s="8">
        <f>IFERROR(__xludf.DUMMYFUNCTION("GOOGLETRANSLATE(B1742, ""zh"", ""vi"")"),"#VALUE!")</f>
        <v/>
      </c>
      <c r="H1710" s="9">
        <f>G1742=B1742</f>
        <v/>
      </c>
    </row>
    <row r="1711">
      <c r="B1711" s="11" t="n"/>
      <c r="C1711" s="8">
        <f>pinyin(B1743)</f>
        <v/>
      </c>
      <c r="E1711" s="8">
        <f>IFERROR(__xludf.DUMMYFUNCTION("GOOGLETRANSLATE(B1743, ""zh"", ""vi"")"),"#VALUE!")</f>
        <v/>
      </c>
      <c r="H1711" s="9">
        <f>G1743=B1743</f>
        <v/>
      </c>
    </row>
    <row r="1712">
      <c r="B1712" s="11" t="n"/>
      <c r="C1712" s="8">
        <f>pinyin(B1744)</f>
        <v/>
      </c>
      <c r="E1712" s="8">
        <f>IFERROR(__xludf.DUMMYFUNCTION("GOOGLETRANSLATE(B1744, ""zh"", ""vi"")"),"#VALUE!")</f>
        <v/>
      </c>
      <c r="H1712" s="9">
        <f>G1744=B1744</f>
        <v/>
      </c>
    </row>
    <row r="1713">
      <c r="B1713" s="11" t="n"/>
      <c r="C1713" s="8">
        <f>pinyin(B1745)</f>
        <v/>
      </c>
      <c r="E1713" s="8">
        <f>IFERROR(__xludf.DUMMYFUNCTION("GOOGLETRANSLATE(B1745, ""zh"", ""vi"")"),"#VALUE!")</f>
        <v/>
      </c>
      <c r="H1713" s="9">
        <f>G1745=B1745</f>
        <v/>
      </c>
    </row>
    <row r="1714">
      <c r="B1714" s="11" t="n"/>
      <c r="C1714" s="8">
        <f>pinyin(B1746)</f>
        <v/>
      </c>
      <c r="E1714" s="8">
        <f>IFERROR(__xludf.DUMMYFUNCTION("GOOGLETRANSLATE(B1746, ""zh"", ""vi"")"),"#VALUE!")</f>
        <v/>
      </c>
      <c r="H1714" s="9">
        <f>G1746=B1746</f>
        <v/>
      </c>
    </row>
    <row r="1715">
      <c r="B1715" s="11" t="n"/>
      <c r="C1715" s="8">
        <f>pinyin(B1747)</f>
        <v/>
      </c>
      <c r="E1715" s="8">
        <f>IFERROR(__xludf.DUMMYFUNCTION("GOOGLETRANSLATE(B1747, ""zh"", ""vi"")"),"#VALUE!")</f>
        <v/>
      </c>
      <c r="H1715" s="9">
        <f>G1747=B1747</f>
        <v/>
      </c>
    </row>
    <row r="1716">
      <c r="B1716" s="11" t="n"/>
      <c r="C1716" s="8">
        <f>pinyin(B1748)</f>
        <v/>
      </c>
      <c r="E1716" s="8">
        <f>IFERROR(__xludf.DUMMYFUNCTION("GOOGLETRANSLATE(B1748, ""zh"", ""vi"")"),"#VALUE!")</f>
        <v/>
      </c>
      <c r="H1716" s="9">
        <f>G1748=B1748</f>
        <v/>
      </c>
    </row>
    <row r="1717">
      <c r="B1717" s="11" t="n"/>
      <c r="C1717" s="8">
        <f>pinyin(B1749)</f>
        <v/>
      </c>
      <c r="E1717" s="8">
        <f>IFERROR(__xludf.DUMMYFUNCTION("GOOGLETRANSLATE(B1749, ""zh"", ""vi"")"),"#VALUE!")</f>
        <v/>
      </c>
      <c r="H1717" s="9">
        <f>G1749=B1749</f>
        <v/>
      </c>
    </row>
    <row r="1718">
      <c r="B1718" s="11" t="n"/>
      <c r="C1718" s="8">
        <f>pinyin(B1750)</f>
        <v/>
      </c>
      <c r="E1718" s="8">
        <f>IFERROR(__xludf.DUMMYFUNCTION("GOOGLETRANSLATE(B1750, ""zh"", ""vi"")"),"#VALUE!")</f>
        <v/>
      </c>
      <c r="H1718" s="9">
        <f>G1750=B1750</f>
        <v/>
      </c>
    </row>
    <row r="1719">
      <c r="B1719" s="11" t="n"/>
      <c r="C1719" s="8">
        <f>pinyin(B1751)</f>
        <v/>
      </c>
      <c r="E1719" s="8">
        <f>IFERROR(__xludf.DUMMYFUNCTION("GOOGLETRANSLATE(B1751, ""zh"", ""vi"")"),"#VALUE!")</f>
        <v/>
      </c>
      <c r="H1719" s="9">
        <f>G1751=B1751</f>
        <v/>
      </c>
    </row>
    <row r="1720">
      <c r="B1720" s="11" t="n"/>
      <c r="C1720" s="8">
        <f>pinyin(B1752)</f>
        <v/>
      </c>
      <c r="E1720" s="8">
        <f>IFERROR(__xludf.DUMMYFUNCTION("GOOGLETRANSLATE(B1752, ""zh"", ""vi"")"),"#VALUE!")</f>
        <v/>
      </c>
      <c r="H1720" s="9">
        <f>G1752=B1752</f>
        <v/>
      </c>
    </row>
    <row r="1721">
      <c r="B1721" s="11" t="n"/>
      <c r="C1721" s="8">
        <f>pinyin(B1753)</f>
        <v/>
      </c>
      <c r="E1721" s="8">
        <f>IFERROR(__xludf.DUMMYFUNCTION("GOOGLETRANSLATE(B1753, ""zh"", ""vi"")"),"#VALUE!")</f>
        <v/>
      </c>
      <c r="H1721" s="9">
        <f>G1753=B1753</f>
        <v/>
      </c>
    </row>
    <row r="1722">
      <c r="B1722" s="11" t="n"/>
      <c r="C1722" s="8">
        <f>pinyin(B1754)</f>
        <v/>
      </c>
      <c r="E1722" s="8">
        <f>IFERROR(__xludf.DUMMYFUNCTION("GOOGLETRANSLATE(B1754, ""zh"", ""vi"")"),"#VALUE!")</f>
        <v/>
      </c>
      <c r="H1722" s="9">
        <f>G1754=B1754</f>
        <v/>
      </c>
    </row>
    <row r="1723">
      <c r="B1723" s="11" t="n"/>
      <c r="C1723" s="8">
        <f>pinyin(B1755)</f>
        <v/>
      </c>
      <c r="E1723" s="8">
        <f>IFERROR(__xludf.DUMMYFUNCTION("GOOGLETRANSLATE(B1755, ""zh"", ""vi"")"),"#VALUE!")</f>
        <v/>
      </c>
      <c r="H1723" s="9">
        <f>G1755=B1755</f>
        <v/>
      </c>
    </row>
    <row r="1724">
      <c r="B1724" s="11" t="n"/>
      <c r="C1724" s="8">
        <f>pinyin(B1756)</f>
        <v/>
      </c>
      <c r="E1724" s="8">
        <f>IFERROR(__xludf.DUMMYFUNCTION("GOOGLETRANSLATE(B1756, ""zh"", ""vi"")"),"#VALUE!")</f>
        <v/>
      </c>
      <c r="H1724" s="9">
        <f>G1756=B1756</f>
        <v/>
      </c>
    </row>
    <row r="1725">
      <c r="B1725" s="11" t="n"/>
      <c r="C1725" s="8">
        <f>pinyin(B1757)</f>
        <v/>
      </c>
      <c r="E1725" s="8">
        <f>IFERROR(__xludf.DUMMYFUNCTION("GOOGLETRANSLATE(B1757, ""zh"", ""vi"")"),"#VALUE!")</f>
        <v/>
      </c>
      <c r="H1725" s="9">
        <f>G1757=B1757</f>
        <v/>
      </c>
    </row>
    <row r="1726">
      <c r="B1726" s="11" t="n"/>
      <c r="C1726" s="8">
        <f>pinyin(B1758)</f>
        <v/>
      </c>
      <c r="E1726" s="8">
        <f>IFERROR(__xludf.DUMMYFUNCTION("GOOGLETRANSLATE(B1758, ""zh"", ""vi"")"),"#VALUE!")</f>
        <v/>
      </c>
      <c r="H1726" s="9">
        <f>G1758=B1758</f>
        <v/>
      </c>
    </row>
    <row r="1727">
      <c r="B1727" s="11" t="n"/>
      <c r="C1727" s="8">
        <f>pinyin(B1759)</f>
        <v/>
      </c>
      <c r="E1727" s="8">
        <f>IFERROR(__xludf.DUMMYFUNCTION("GOOGLETRANSLATE(B1759, ""zh"", ""vi"")"),"#VALUE!")</f>
        <v/>
      </c>
      <c r="H1727" s="9">
        <f>G1759=B1759</f>
        <v/>
      </c>
    </row>
    <row r="1728">
      <c r="B1728" s="11" t="n"/>
      <c r="C1728" s="8">
        <f>pinyin(B1760)</f>
        <v/>
      </c>
      <c r="E1728" s="8">
        <f>IFERROR(__xludf.DUMMYFUNCTION("GOOGLETRANSLATE(B1760, ""zh"", ""vi"")"),"#VALUE!")</f>
        <v/>
      </c>
      <c r="H1728" s="9">
        <f>G1760=B1760</f>
        <v/>
      </c>
    </row>
    <row r="1729">
      <c r="B1729" s="11" t="n"/>
      <c r="C1729" s="8">
        <f>pinyin(B1761)</f>
        <v/>
      </c>
      <c r="E1729" s="8">
        <f>IFERROR(__xludf.DUMMYFUNCTION("GOOGLETRANSLATE(B1761, ""zh"", ""vi"")"),"#VALUE!")</f>
        <v/>
      </c>
      <c r="H1729" s="9">
        <f>G1761=B1761</f>
        <v/>
      </c>
    </row>
    <row r="1730">
      <c r="B1730" s="11" t="n"/>
      <c r="C1730" s="8">
        <f>pinyin(B1762)</f>
        <v/>
      </c>
      <c r="E1730" s="8">
        <f>IFERROR(__xludf.DUMMYFUNCTION("GOOGLETRANSLATE(B1762, ""zh"", ""vi"")"),"#VALUE!")</f>
        <v/>
      </c>
      <c r="H1730" s="9">
        <f>G1762=B1762</f>
        <v/>
      </c>
    </row>
    <row r="1731">
      <c r="B1731" s="11" t="n"/>
      <c r="C1731" s="8">
        <f>pinyin(B1763)</f>
        <v/>
      </c>
      <c r="E1731" s="8">
        <f>IFERROR(__xludf.DUMMYFUNCTION("GOOGLETRANSLATE(B1763, ""zh"", ""vi"")"),"#VALUE!")</f>
        <v/>
      </c>
      <c r="H1731" s="9">
        <f>G1763=B1763</f>
        <v/>
      </c>
    </row>
    <row r="1732">
      <c r="B1732" s="11" t="n"/>
      <c r="C1732" s="8">
        <f>pinyin(B1764)</f>
        <v/>
      </c>
      <c r="E1732" s="8">
        <f>IFERROR(__xludf.DUMMYFUNCTION("GOOGLETRANSLATE(B1764, ""zh"", ""vi"")"),"#VALUE!")</f>
        <v/>
      </c>
      <c r="H1732" s="9">
        <f>G1764=B1764</f>
        <v/>
      </c>
    </row>
    <row r="1733">
      <c r="B1733" s="11" t="n"/>
      <c r="C1733" s="8">
        <f>pinyin(B1765)</f>
        <v/>
      </c>
      <c r="E1733" s="8">
        <f>IFERROR(__xludf.DUMMYFUNCTION("GOOGLETRANSLATE(B1765, ""zh"", ""vi"")"),"#VALUE!")</f>
        <v/>
      </c>
      <c r="H1733" s="9">
        <f>G1765=B1765</f>
        <v/>
      </c>
    </row>
    <row r="1734">
      <c r="B1734" s="11" t="n"/>
      <c r="C1734" s="8">
        <f>pinyin(B1766)</f>
        <v/>
      </c>
      <c r="E1734" s="8">
        <f>IFERROR(__xludf.DUMMYFUNCTION("GOOGLETRANSLATE(B1766, ""zh"", ""vi"")"),"#VALUE!")</f>
        <v/>
      </c>
      <c r="H1734" s="9">
        <f>G1766=B1766</f>
        <v/>
      </c>
    </row>
    <row r="1735">
      <c r="B1735" s="11" t="n"/>
      <c r="C1735" s="8">
        <f>pinyin(B1767)</f>
        <v/>
      </c>
      <c r="E1735" s="8">
        <f>IFERROR(__xludf.DUMMYFUNCTION("GOOGLETRANSLATE(B1767, ""zh"", ""vi"")"),"#VALUE!")</f>
        <v/>
      </c>
      <c r="H1735" s="9">
        <f>G1767=B1767</f>
        <v/>
      </c>
    </row>
    <row r="1736">
      <c r="B1736" s="11" t="n"/>
      <c r="C1736" s="8">
        <f>pinyin(B1768)</f>
        <v/>
      </c>
      <c r="E1736" s="8">
        <f>IFERROR(__xludf.DUMMYFUNCTION("GOOGLETRANSLATE(B1768, ""zh"", ""vi"")"),"#VALUE!")</f>
        <v/>
      </c>
      <c r="H1736" s="9">
        <f>G1768=B1768</f>
        <v/>
      </c>
    </row>
    <row r="1737">
      <c r="B1737" s="11" t="n"/>
      <c r="C1737" s="8">
        <f>pinyin(B1769)</f>
        <v/>
      </c>
      <c r="E1737" s="8">
        <f>IFERROR(__xludf.DUMMYFUNCTION("GOOGLETRANSLATE(B1769, ""zh"", ""vi"")"),"#VALUE!")</f>
        <v/>
      </c>
      <c r="H1737" s="9">
        <f>G1769=B1769</f>
        <v/>
      </c>
    </row>
    <row r="1738">
      <c r="B1738" s="11" t="n"/>
      <c r="C1738" s="8">
        <f>pinyin(B1770)</f>
        <v/>
      </c>
      <c r="E1738" s="8">
        <f>IFERROR(__xludf.DUMMYFUNCTION("GOOGLETRANSLATE(B1770, ""zh"", ""vi"")"),"#VALUE!")</f>
        <v/>
      </c>
      <c r="H1738" s="9">
        <f>G1770=B1770</f>
        <v/>
      </c>
    </row>
    <row r="1739">
      <c r="B1739" s="11" t="n"/>
      <c r="C1739" s="8">
        <f>pinyin(B1771)</f>
        <v/>
      </c>
      <c r="E1739" s="8">
        <f>IFERROR(__xludf.DUMMYFUNCTION("GOOGLETRANSLATE(B1771, ""zh"", ""vi"")"),"#VALUE!")</f>
        <v/>
      </c>
      <c r="H1739" s="9">
        <f>G1771=B1771</f>
        <v/>
      </c>
    </row>
    <row r="1740">
      <c r="B1740" s="11" t="n"/>
      <c r="C1740" s="8">
        <f>pinyin(B1772)</f>
        <v/>
      </c>
      <c r="E1740" s="8">
        <f>IFERROR(__xludf.DUMMYFUNCTION("GOOGLETRANSLATE(B1772, ""zh"", ""vi"")"),"#VALUE!")</f>
        <v/>
      </c>
      <c r="H1740" s="9">
        <f>G1772=B1772</f>
        <v/>
      </c>
    </row>
    <row r="1741">
      <c r="B1741" s="11" t="n"/>
      <c r="C1741" s="8">
        <f>pinyin(B1773)</f>
        <v/>
      </c>
      <c r="E1741" s="8">
        <f>IFERROR(__xludf.DUMMYFUNCTION("GOOGLETRANSLATE(B1773, ""zh"", ""vi"")"),"#VALUE!")</f>
        <v/>
      </c>
      <c r="H1741" s="9">
        <f>G1773=B1773</f>
        <v/>
      </c>
    </row>
    <row r="1742">
      <c r="B1742" s="11" t="n"/>
      <c r="C1742" s="8">
        <f>pinyin(B1774)</f>
        <v/>
      </c>
      <c r="E1742" s="8">
        <f>IFERROR(__xludf.DUMMYFUNCTION("GOOGLETRANSLATE(B1774, ""zh"", ""vi"")"),"#VALUE!")</f>
        <v/>
      </c>
      <c r="H1742" s="9">
        <f>G1774=B1774</f>
        <v/>
      </c>
    </row>
    <row r="1743">
      <c r="B1743" s="11" t="n"/>
      <c r="C1743" s="8">
        <f>pinyin(B1775)</f>
        <v/>
      </c>
      <c r="E1743" s="8">
        <f>IFERROR(__xludf.DUMMYFUNCTION("GOOGLETRANSLATE(B1775, ""zh"", ""vi"")"),"#VALUE!")</f>
        <v/>
      </c>
      <c r="H1743" s="9">
        <f>G1775=B1775</f>
        <v/>
      </c>
    </row>
    <row r="1744">
      <c r="B1744" s="11" t="n"/>
      <c r="C1744" s="8">
        <f>pinyin(B1776)</f>
        <v/>
      </c>
      <c r="E1744" s="8">
        <f>IFERROR(__xludf.DUMMYFUNCTION("GOOGLETRANSLATE(B1776, ""zh"", ""vi"")"),"#VALUE!")</f>
        <v/>
      </c>
      <c r="H1744" s="9">
        <f>G1776=B1776</f>
        <v/>
      </c>
    </row>
    <row r="1745">
      <c r="B1745" s="11" t="n"/>
      <c r="C1745" s="8">
        <f>pinyin(B1777)</f>
        <v/>
      </c>
      <c r="E1745" s="8">
        <f>IFERROR(__xludf.DUMMYFUNCTION("GOOGLETRANSLATE(B1777, ""zh"", ""vi"")"),"#VALUE!")</f>
        <v/>
      </c>
      <c r="H1745" s="9">
        <f>G1777=B1777</f>
        <v/>
      </c>
    </row>
    <row r="1746">
      <c r="B1746" s="11" t="n"/>
      <c r="C1746" s="8">
        <f>pinyin(B1778)</f>
        <v/>
      </c>
      <c r="E1746" s="8">
        <f>IFERROR(__xludf.DUMMYFUNCTION("GOOGLETRANSLATE(B1778, ""zh"", ""vi"")"),"#VALUE!")</f>
        <v/>
      </c>
      <c r="H1746" s="9">
        <f>G1778=B1778</f>
        <v/>
      </c>
    </row>
    <row r="1747">
      <c r="B1747" s="11" t="n"/>
      <c r="C1747" s="8">
        <f>pinyin(B1779)</f>
        <v/>
      </c>
      <c r="E1747" s="8">
        <f>IFERROR(__xludf.DUMMYFUNCTION("GOOGLETRANSLATE(B1779, ""zh"", ""vi"")"),"#VALUE!")</f>
        <v/>
      </c>
      <c r="H1747" s="9">
        <f>G1779=B1779</f>
        <v/>
      </c>
    </row>
    <row r="1748">
      <c r="B1748" s="11" t="n"/>
      <c r="C1748" s="8">
        <f>pinyin(B1780)</f>
        <v/>
      </c>
      <c r="E1748" s="8">
        <f>IFERROR(__xludf.DUMMYFUNCTION("GOOGLETRANSLATE(B1780, ""zh"", ""vi"")"),"#VALUE!")</f>
        <v/>
      </c>
      <c r="H1748" s="9">
        <f>G1780=B1780</f>
        <v/>
      </c>
    </row>
    <row r="1749">
      <c r="B1749" s="11" t="n"/>
      <c r="C1749" s="8">
        <f>pinyin(B1781)</f>
        <v/>
      </c>
      <c r="E1749" s="8">
        <f>IFERROR(__xludf.DUMMYFUNCTION("GOOGLETRANSLATE(B1781, ""zh"", ""vi"")"),"#VALUE!")</f>
        <v/>
      </c>
      <c r="H1749" s="9">
        <f>G1781=B1781</f>
        <v/>
      </c>
    </row>
    <row r="1750">
      <c r="B1750" s="11" t="n"/>
      <c r="C1750" s="8">
        <f>pinyin(B1782)</f>
        <v/>
      </c>
      <c r="E1750" s="8">
        <f>IFERROR(__xludf.DUMMYFUNCTION("GOOGLETRANSLATE(B1782, ""zh"", ""vi"")"),"#VALUE!")</f>
        <v/>
      </c>
      <c r="H1750" s="9">
        <f>G1782=B1782</f>
        <v/>
      </c>
    </row>
    <row r="1751">
      <c r="B1751" s="11" t="n"/>
      <c r="C1751" s="8">
        <f>pinyin(B1783)</f>
        <v/>
      </c>
      <c r="E1751" s="8">
        <f>IFERROR(__xludf.DUMMYFUNCTION("GOOGLETRANSLATE(B1783, ""zh"", ""vi"")"),"#VALUE!")</f>
        <v/>
      </c>
      <c r="H1751" s="9">
        <f>G1783=B1783</f>
        <v/>
      </c>
    </row>
    <row r="1752">
      <c r="B1752" s="11" t="n"/>
      <c r="C1752" s="8">
        <f>pinyin(B1784)</f>
        <v/>
      </c>
      <c r="E1752" s="8">
        <f>IFERROR(__xludf.DUMMYFUNCTION("GOOGLETRANSLATE(B1784, ""zh"", ""vi"")"),"#VALUE!")</f>
        <v/>
      </c>
      <c r="H1752" s="9">
        <f>G1784=B1784</f>
        <v/>
      </c>
    </row>
    <row r="1753">
      <c r="B1753" s="11" t="n"/>
      <c r="C1753" s="8">
        <f>pinyin(B1785)</f>
        <v/>
      </c>
      <c r="E1753" s="8">
        <f>IFERROR(__xludf.DUMMYFUNCTION("GOOGLETRANSLATE(B1785, ""zh"", ""vi"")"),"#VALUE!")</f>
        <v/>
      </c>
      <c r="H1753" s="9">
        <f>G1785=B1785</f>
        <v/>
      </c>
    </row>
    <row r="1754">
      <c r="B1754" s="11" t="n"/>
      <c r="C1754" s="8">
        <f>pinyin(B1786)</f>
        <v/>
      </c>
      <c r="E1754" s="8">
        <f>IFERROR(__xludf.DUMMYFUNCTION("GOOGLETRANSLATE(B1786, ""zh"", ""vi"")"),"#VALUE!")</f>
        <v/>
      </c>
      <c r="H1754" s="9">
        <f>G1786=B1786</f>
        <v/>
      </c>
    </row>
    <row r="1755">
      <c r="B1755" s="11" t="n"/>
      <c r="C1755" s="8">
        <f>pinyin(B1787)</f>
        <v/>
      </c>
      <c r="E1755" s="8">
        <f>IFERROR(__xludf.DUMMYFUNCTION("GOOGLETRANSLATE(B1787, ""zh"", ""vi"")"),"#VALUE!")</f>
        <v/>
      </c>
      <c r="H1755" s="9">
        <f>G1787=B1787</f>
        <v/>
      </c>
    </row>
    <row r="1756">
      <c r="B1756" s="11" t="n"/>
      <c r="C1756" s="8">
        <f>pinyin(B1788)</f>
        <v/>
      </c>
      <c r="E1756" s="8">
        <f>IFERROR(__xludf.DUMMYFUNCTION("GOOGLETRANSLATE(B1788, ""zh"", ""vi"")"),"#VALUE!")</f>
        <v/>
      </c>
      <c r="H1756" s="9">
        <f>G1788=B1788</f>
        <v/>
      </c>
    </row>
    <row r="1757">
      <c r="B1757" s="11" t="n"/>
      <c r="C1757" s="8">
        <f>pinyin(B1789)</f>
        <v/>
      </c>
      <c r="E1757" s="8">
        <f>IFERROR(__xludf.DUMMYFUNCTION("GOOGLETRANSLATE(B1789, ""zh"", ""vi"")"),"#VALUE!")</f>
        <v/>
      </c>
      <c r="H1757" s="9">
        <f>G1789=B1789</f>
        <v/>
      </c>
    </row>
    <row r="1758">
      <c r="B1758" s="11" t="n"/>
      <c r="C1758" s="8">
        <f>pinyin(B1790)</f>
        <v/>
      </c>
      <c r="E1758" s="8">
        <f>IFERROR(__xludf.DUMMYFUNCTION("GOOGLETRANSLATE(B1790, ""zh"", ""vi"")"),"#VALUE!")</f>
        <v/>
      </c>
      <c r="H1758" s="9">
        <f>G1790=B1790</f>
        <v/>
      </c>
    </row>
    <row r="1759">
      <c r="B1759" s="11" t="n"/>
      <c r="C1759" s="8">
        <f>pinyin(B1791)</f>
        <v/>
      </c>
      <c r="E1759" s="8">
        <f>IFERROR(__xludf.DUMMYFUNCTION("GOOGLETRANSLATE(B1791, ""zh"", ""vi"")"),"#VALUE!")</f>
        <v/>
      </c>
      <c r="H1759" s="9">
        <f>G1791=B1791</f>
        <v/>
      </c>
    </row>
    <row r="1760">
      <c r="B1760" s="11" t="n"/>
      <c r="C1760" s="8">
        <f>pinyin(B1792)</f>
        <v/>
      </c>
      <c r="E1760" s="8">
        <f>IFERROR(__xludf.DUMMYFUNCTION("GOOGLETRANSLATE(B1792, ""zh"", ""vi"")"),"#VALUE!")</f>
        <v/>
      </c>
      <c r="H1760" s="9">
        <f>G1792=B1792</f>
        <v/>
      </c>
    </row>
    <row r="1761">
      <c r="B1761" s="11" t="n"/>
      <c r="C1761" s="8">
        <f>pinyin(B1793)</f>
        <v/>
      </c>
      <c r="E1761" s="8">
        <f>IFERROR(__xludf.DUMMYFUNCTION("GOOGLETRANSLATE(B1793, ""zh"", ""vi"")"),"#VALUE!")</f>
        <v/>
      </c>
      <c r="H1761" s="9">
        <f>G1793=B1793</f>
        <v/>
      </c>
    </row>
    <row r="1762">
      <c r="B1762" s="11" t="n"/>
      <c r="C1762" s="8">
        <f>pinyin(B1794)</f>
        <v/>
      </c>
      <c r="E1762" s="8">
        <f>IFERROR(__xludf.DUMMYFUNCTION("GOOGLETRANSLATE(B1794, ""zh"", ""vi"")"),"#VALUE!")</f>
        <v/>
      </c>
      <c r="H1762" s="9">
        <f>G1794=B1794</f>
        <v/>
      </c>
    </row>
    <row r="1763">
      <c r="B1763" s="11" t="n"/>
      <c r="C1763" s="8">
        <f>pinyin(B1795)</f>
        <v/>
      </c>
      <c r="E1763" s="8">
        <f>IFERROR(__xludf.DUMMYFUNCTION("GOOGLETRANSLATE(B1795, ""zh"", ""vi"")"),"#VALUE!")</f>
        <v/>
      </c>
      <c r="H1763" s="9">
        <f>G1795=B1795</f>
        <v/>
      </c>
    </row>
    <row r="1764">
      <c r="B1764" s="11" t="n"/>
      <c r="C1764" s="8">
        <f>pinyin(B1796)</f>
        <v/>
      </c>
      <c r="E1764" s="8">
        <f>IFERROR(__xludf.DUMMYFUNCTION("GOOGLETRANSLATE(B1796, ""zh"", ""vi"")"),"#VALUE!")</f>
        <v/>
      </c>
      <c r="H1764" s="9">
        <f>G1796=B1796</f>
        <v/>
      </c>
    </row>
    <row r="1765">
      <c r="B1765" s="11" t="n"/>
      <c r="C1765" s="8">
        <f>pinyin(B1797)</f>
        <v/>
      </c>
      <c r="E1765" s="8">
        <f>IFERROR(__xludf.DUMMYFUNCTION("GOOGLETRANSLATE(B1797, ""zh"", ""vi"")"),"#VALUE!")</f>
        <v/>
      </c>
      <c r="H1765" s="9">
        <f>G1797=B1797</f>
        <v/>
      </c>
    </row>
    <row r="1766">
      <c r="B1766" s="11" t="n"/>
      <c r="C1766" s="8">
        <f>pinyin(B1798)</f>
        <v/>
      </c>
      <c r="E1766" s="8">
        <f>IFERROR(__xludf.DUMMYFUNCTION("GOOGLETRANSLATE(B1798, ""zh"", ""vi"")"),"#VALUE!")</f>
        <v/>
      </c>
      <c r="H1766" s="9">
        <f>G1798=B1798</f>
        <v/>
      </c>
    </row>
    <row r="1767">
      <c r="B1767" s="11" t="n"/>
      <c r="C1767" s="8">
        <f>pinyin(B1799)</f>
        <v/>
      </c>
      <c r="E1767" s="8">
        <f>IFERROR(__xludf.DUMMYFUNCTION("GOOGLETRANSLATE(B1799, ""zh"", ""vi"")"),"#VALUE!")</f>
        <v/>
      </c>
      <c r="H1767" s="9">
        <f>G1799=B1799</f>
        <v/>
      </c>
    </row>
    <row r="1768">
      <c r="B1768" s="11" t="n"/>
      <c r="C1768" s="8">
        <f>pinyin(B1800)</f>
        <v/>
      </c>
      <c r="E1768" s="8">
        <f>IFERROR(__xludf.DUMMYFUNCTION("GOOGLETRANSLATE(B1800, ""zh"", ""vi"")"),"#VALUE!")</f>
        <v/>
      </c>
      <c r="H1768" s="9">
        <f>G1800=B1800</f>
        <v/>
      </c>
    </row>
    <row r="1769">
      <c r="B1769" s="11" t="n"/>
      <c r="C1769" s="8">
        <f>pinyin(B1801)</f>
        <v/>
      </c>
      <c r="E1769" s="8">
        <f>IFERROR(__xludf.DUMMYFUNCTION("GOOGLETRANSLATE(B1801, ""zh"", ""vi"")"),"#VALUE!")</f>
        <v/>
      </c>
      <c r="H1769" s="9">
        <f>G1801=B1801</f>
        <v/>
      </c>
    </row>
    <row r="1770">
      <c r="B1770" s="11" t="n"/>
      <c r="C1770" s="8">
        <f>pinyin(B1802)</f>
        <v/>
      </c>
      <c r="E1770" s="8">
        <f>IFERROR(__xludf.DUMMYFUNCTION("GOOGLETRANSLATE(B1802, ""zh"", ""vi"")"),"#VALUE!")</f>
        <v/>
      </c>
      <c r="H1770" s="9">
        <f>G1802=B1802</f>
        <v/>
      </c>
    </row>
    <row r="1771">
      <c r="B1771" s="11" t="n"/>
      <c r="C1771" s="8">
        <f>pinyin(B1803)</f>
        <v/>
      </c>
      <c r="E1771" s="8">
        <f>IFERROR(__xludf.DUMMYFUNCTION("GOOGLETRANSLATE(B1803, ""zh"", ""vi"")"),"#VALUE!")</f>
        <v/>
      </c>
      <c r="H1771" s="9">
        <f>G1803=B1803</f>
        <v/>
      </c>
    </row>
    <row r="1772">
      <c r="B1772" s="11" t="n"/>
      <c r="C1772" s="8">
        <f>pinyin(B1804)</f>
        <v/>
      </c>
      <c r="E1772" s="8">
        <f>IFERROR(__xludf.DUMMYFUNCTION("GOOGLETRANSLATE(B1804, ""zh"", ""vi"")"),"#VALUE!")</f>
        <v/>
      </c>
      <c r="H1772" s="9">
        <f>G1804=B1804</f>
        <v/>
      </c>
    </row>
    <row r="1773">
      <c r="B1773" s="11" t="n"/>
      <c r="C1773" s="8">
        <f>pinyin(B1805)</f>
        <v/>
      </c>
      <c r="E1773" s="8">
        <f>IFERROR(__xludf.DUMMYFUNCTION("GOOGLETRANSLATE(B1805, ""zh"", ""vi"")"),"#VALUE!")</f>
        <v/>
      </c>
      <c r="H1773" s="9">
        <f>G1805=B1805</f>
        <v/>
      </c>
    </row>
    <row r="1774">
      <c r="B1774" s="11" t="n"/>
      <c r="C1774" s="8">
        <f>pinyin(B1806)</f>
        <v/>
      </c>
      <c r="E1774" s="8">
        <f>IFERROR(__xludf.DUMMYFUNCTION("GOOGLETRANSLATE(B1806, ""zh"", ""vi"")"),"#VALUE!")</f>
        <v/>
      </c>
      <c r="H1774" s="9">
        <f>G1806=B1806</f>
        <v/>
      </c>
    </row>
    <row r="1775">
      <c r="B1775" s="11" t="n"/>
      <c r="C1775" s="8">
        <f>pinyin(B1807)</f>
        <v/>
      </c>
      <c r="E1775" s="8">
        <f>IFERROR(__xludf.DUMMYFUNCTION("GOOGLETRANSLATE(B1807, ""zh"", ""vi"")"),"#VALUE!")</f>
        <v/>
      </c>
      <c r="H1775" s="9">
        <f>G1807=B1807</f>
        <v/>
      </c>
    </row>
    <row r="1776">
      <c r="B1776" s="11" t="n"/>
      <c r="C1776" s="8">
        <f>pinyin(B1808)</f>
        <v/>
      </c>
      <c r="E1776" s="8">
        <f>IFERROR(__xludf.DUMMYFUNCTION("GOOGLETRANSLATE(B1808, ""zh"", ""vi"")"),"#VALUE!")</f>
        <v/>
      </c>
      <c r="H1776" s="9">
        <f>G1808=B1808</f>
        <v/>
      </c>
    </row>
    <row r="1777">
      <c r="B1777" s="11" t="n"/>
      <c r="C1777" s="8">
        <f>pinyin(B1809)</f>
        <v/>
      </c>
      <c r="E1777" s="8">
        <f>IFERROR(__xludf.DUMMYFUNCTION("GOOGLETRANSLATE(B1809, ""zh"", ""vi"")"),"#VALUE!")</f>
        <v/>
      </c>
      <c r="H1777" s="9">
        <f>G1809=B1809</f>
        <v/>
      </c>
    </row>
    <row r="1778">
      <c r="B1778" s="11" t="n"/>
      <c r="C1778" s="8">
        <f>pinyin(B1810)</f>
        <v/>
      </c>
      <c r="E1778" s="8">
        <f>IFERROR(__xludf.DUMMYFUNCTION("GOOGLETRANSLATE(B1810, ""zh"", ""vi"")"),"#VALUE!")</f>
        <v/>
      </c>
      <c r="H1778" s="9">
        <f>G1810=B1810</f>
        <v/>
      </c>
    </row>
    <row r="1779">
      <c r="B1779" s="11" t="n"/>
      <c r="C1779" s="8">
        <f>pinyin(B1811)</f>
        <v/>
      </c>
      <c r="E1779" s="8">
        <f>IFERROR(__xludf.DUMMYFUNCTION("GOOGLETRANSLATE(B1811, ""zh"", ""vi"")"),"#VALUE!")</f>
        <v/>
      </c>
      <c r="H1779" s="9">
        <f>G1811=B1811</f>
        <v/>
      </c>
    </row>
    <row r="1780">
      <c r="B1780" s="11" t="n"/>
      <c r="C1780" s="8">
        <f>pinyin(B1812)</f>
        <v/>
      </c>
      <c r="E1780" s="8">
        <f>IFERROR(__xludf.DUMMYFUNCTION("GOOGLETRANSLATE(B1812, ""zh"", ""vi"")"),"#VALUE!")</f>
        <v/>
      </c>
      <c r="H1780" s="9">
        <f>G1812=B1812</f>
        <v/>
      </c>
    </row>
    <row r="1781">
      <c r="B1781" s="11" t="n"/>
      <c r="C1781" s="8">
        <f>pinyin(B1813)</f>
        <v/>
      </c>
      <c r="E1781" s="8">
        <f>IFERROR(__xludf.DUMMYFUNCTION("GOOGLETRANSLATE(B1813, ""zh"", ""vi"")"),"#VALUE!")</f>
        <v/>
      </c>
      <c r="H1781" s="9">
        <f>G1813=B1813</f>
        <v/>
      </c>
    </row>
    <row r="1782">
      <c r="B1782" s="11" t="n"/>
      <c r="C1782" s="8">
        <f>pinyin(B1814)</f>
        <v/>
      </c>
      <c r="E1782" s="8">
        <f>IFERROR(__xludf.DUMMYFUNCTION("GOOGLETRANSLATE(B1814, ""zh"", ""vi"")"),"#VALUE!")</f>
        <v/>
      </c>
      <c r="H1782" s="9">
        <f>G1814=B1814</f>
        <v/>
      </c>
    </row>
    <row r="1783">
      <c r="B1783" s="11" t="n"/>
      <c r="C1783" s="8">
        <f>pinyin(B1815)</f>
        <v/>
      </c>
      <c r="E1783" s="8">
        <f>IFERROR(__xludf.DUMMYFUNCTION("GOOGLETRANSLATE(B1815, ""zh"", ""vi"")"),"#VALUE!")</f>
        <v/>
      </c>
      <c r="H1783" s="9">
        <f>G1815=B1815</f>
        <v/>
      </c>
    </row>
    <row r="1784">
      <c r="B1784" s="11" t="n"/>
      <c r="C1784" s="8">
        <f>pinyin(B1816)</f>
        <v/>
      </c>
      <c r="E1784" s="8">
        <f>IFERROR(__xludf.DUMMYFUNCTION("GOOGLETRANSLATE(B1816, ""zh"", ""vi"")"),"#VALUE!")</f>
        <v/>
      </c>
      <c r="H1784" s="9">
        <f>G1816=B1816</f>
        <v/>
      </c>
    </row>
    <row r="1785">
      <c r="B1785" s="11" t="n"/>
      <c r="C1785" s="8">
        <f>pinyin(B1817)</f>
        <v/>
      </c>
      <c r="E1785" s="8">
        <f>IFERROR(__xludf.DUMMYFUNCTION("GOOGLETRANSLATE(B1817, ""zh"", ""vi"")"),"#VALUE!")</f>
        <v/>
      </c>
      <c r="H1785" s="9">
        <f>G1817=B1817</f>
        <v/>
      </c>
    </row>
    <row r="1786">
      <c r="B1786" s="11" t="n"/>
      <c r="C1786" s="8">
        <f>pinyin(B1818)</f>
        <v/>
      </c>
      <c r="E1786" s="8">
        <f>IFERROR(__xludf.DUMMYFUNCTION("GOOGLETRANSLATE(B1818, ""zh"", ""vi"")"),"#VALUE!")</f>
        <v/>
      </c>
      <c r="H1786" s="9">
        <f>G1818=B1818</f>
        <v/>
      </c>
    </row>
    <row r="1787">
      <c r="B1787" s="11" t="n"/>
      <c r="C1787" s="8">
        <f>pinyin(B1819)</f>
        <v/>
      </c>
      <c r="E1787" s="8">
        <f>IFERROR(__xludf.DUMMYFUNCTION("GOOGLETRANSLATE(B1819, ""zh"", ""vi"")"),"#VALUE!")</f>
        <v/>
      </c>
      <c r="H1787" s="9">
        <f>G1819=B1819</f>
        <v/>
      </c>
    </row>
    <row r="1788">
      <c r="B1788" s="11" t="n"/>
      <c r="C1788" s="8">
        <f>pinyin(B1820)</f>
        <v/>
      </c>
      <c r="E1788" s="8">
        <f>IFERROR(__xludf.DUMMYFUNCTION("GOOGLETRANSLATE(B1820, ""zh"", ""vi"")"),"#VALUE!")</f>
        <v/>
      </c>
      <c r="H1788" s="9">
        <f>G1820=B1820</f>
        <v/>
      </c>
    </row>
    <row r="1789">
      <c r="B1789" s="11" t="n"/>
      <c r="C1789" s="8">
        <f>pinyin(B1821)</f>
        <v/>
      </c>
      <c r="E1789" s="8">
        <f>IFERROR(__xludf.DUMMYFUNCTION("GOOGLETRANSLATE(B1821, ""zh"", ""vi"")"),"#VALUE!")</f>
        <v/>
      </c>
      <c r="H1789" s="9">
        <f>G1821=B1821</f>
        <v/>
      </c>
    </row>
    <row r="1790">
      <c r="B1790" s="11" t="n"/>
      <c r="C1790" s="8">
        <f>pinyin(B1822)</f>
        <v/>
      </c>
      <c r="E1790" s="8">
        <f>IFERROR(__xludf.DUMMYFUNCTION("GOOGLETRANSLATE(B1822, ""zh"", ""vi"")"),"#VALUE!")</f>
        <v/>
      </c>
      <c r="H1790" s="9">
        <f>G1822=B1822</f>
        <v/>
      </c>
    </row>
    <row r="1791">
      <c r="B1791" s="11" t="n"/>
      <c r="C1791" s="8">
        <f>pinyin(B1823)</f>
        <v/>
      </c>
      <c r="E1791" s="8">
        <f>IFERROR(__xludf.DUMMYFUNCTION("GOOGLETRANSLATE(B1823, ""zh"", ""vi"")"),"#VALUE!")</f>
        <v/>
      </c>
      <c r="H1791" s="9">
        <f>G1823=B1823</f>
        <v/>
      </c>
    </row>
    <row r="1792">
      <c r="B1792" s="11" t="n"/>
      <c r="C1792" s="8">
        <f>pinyin(B1824)</f>
        <v/>
      </c>
      <c r="E1792" s="8">
        <f>IFERROR(__xludf.DUMMYFUNCTION("GOOGLETRANSLATE(B1824, ""zh"", ""vi"")"),"#VALUE!")</f>
        <v/>
      </c>
      <c r="H1792" s="9">
        <f>G1824=B1824</f>
        <v/>
      </c>
    </row>
    <row r="1793">
      <c r="B1793" s="11" t="n"/>
      <c r="C1793" s="8">
        <f>pinyin(B1825)</f>
        <v/>
      </c>
      <c r="E1793" s="8">
        <f>IFERROR(__xludf.DUMMYFUNCTION("GOOGLETRANSLATE(B1825, ""zh"", ""vi"")"),"#VALUE!")</f>
        <v/>
      </c>
      <c r="H1793" s="9">
        <f>G1825=B1825</f>
        <v/>
      </c>
    </row>
    <row r="1794">
      <c r="B1794" s="11" t="n"/>
      <c r="C1794" s="8">
        <f>pinyin(B1826)</f>
        <v/>
      </c>
      <c r="E1794" s="8">
        <f>IFERROR(__xludf.DUMMYFUNCTION("GOOGLETRANSLATE(B1826, ""zh"", ""vi"")"),"#VALUE!")</f>
        <v/>
      </c>
      <c r="H1794" s="9">
        <f>G1826=B1826</f>
        <v/>
      </c>
    </row>
    <row r="1795">
      <c r="B1795" s="11" t="n"/>
      <c r="C1795" s="8">
        <f>pinyin(B1827)</f>
        <v/>
      </c>
      <c r="E1795" s="8">
        <f>IFERROR(__xludf.DUMMYFUNCTION("GOOGLETRANSLATE(B1827, ""zh"", ""vi"")"),"#VALUE!")</f>
        <v/>
      </c>
      <c r="H1795" s="9">
        <f>G1827=B1827</f>
        <v/>
      </c>
    </row>
    <row r="1796">
      <c r="B1796" s="11" t="n"/>
      <c r="C1796" s="8">
        <f>pinyin(B1828)</f>
        <v/>
      </c>
      <c r="E1796" s="8">
        <f>IFERROR(__xludf.DUMMYFUNCTION("GOOGLETRANSLATE(B1828, ""zh"", ""vi"")"),"#VALUE!")</f>
        <v/>
      </c>
      <c r="H1796" s="9">
        <f>G1828=B1828</f>
        <v/>
      </c>
    </row>
    <row r="1797">
      <c r="B1797" s="11" t="n"/>
      <c r="C1797" s="8">
        <f>pinyin(B1829)</f>
        <v/>
      </c>
      <c r="E1797" s="8">
        <f>IFERROR(__xludf.DUMMYFUNCTION("GOOGLETRANSLATE(B1829, ""zh"", ""vi"")"),"#VALUE!")</f>
        <v/>
      </c>
      <c r="H1797" s="9">
        <f>G1829=B1829</f>
        <v/>
      </c>
    </row>
    <row r="1798">
      <c r="B1798" s="11" t="n"/>
      <c r="C1798" s="8">
        <f>pinyin(B1830)</f>
        <v/>
      </c>
      <c r="E1798" s="8">
        <f>IFERROR(__xludf.DUMMYFUNCTION("GOOGLETRANSLATE(B1830, ""zh"", ""vi"")"),"#VALUE!")</f>
        <v/>
      </c>
      <c r="H1798" s="9">
        <f>G1830=B1830</f>
        <v/>
      </c>
    </row>
    <row r="1799">
      <c r="B1799" s="11" t="n"/>
      <c r="C1799" s="8">
        <f>pinyin(B1831)</f>
        <v/>
      </c>
      <c r="E1799" s="8">
        <f>IFERROR(__xludf.DUMMYFUNCTION("GOOGLETRANSLATE(B1831, ""zh"", ""vi"")"),"#VALUE!")</f>
        <v/>
      </c>
      <c r="H1799" s="9">
        <f>G1831=B1831</f>
        <v/>
      </c>
    </row>
    <row r="1800">
      <c r="B1800" s="11" t="n"/>
      <c r="C1800" s="8">
        <f>pinyin(B1832)</f>
        <v/>
      </c>
      <c r="E1800" s="8">
        <f>IFERROR(__xludf.DUMMYFUNCTION("GOOGLETRANSLATE(B1832, ""zh"", ""vi"")"),"#VALUE!")</f>
        <v/>
      </c>
      <c r="H1800" s="9">
        <f>G1832=B1832</f>
        <v/>
      </c>
    </row>
    <row r="1801">
      <c r="B1801" s="11" t="n"/>
      <c r="C1801" s="8">
        <f>pinyin(B1833)</f>
        <v/>
      </c>
      <c r="E1801" s="8">
        <f>IFERROR(__xludf.DUMMYFUNCTION("GOOGLETRANSLATE(B1833, ""zh"", ""vi"")"),"#VALUE!")</f>
        <v/>
      </c>
      <c r="H1801" s="9">
        <f>G1833=B1833</f>
        <v/>
      </c>
    </row>
    <row r="1802">
      <c r="B1802" s="11" t="n"/>
      <c r="C1802" s="8">
        <f>pinyin(B1834)</f>
        <v/>
      </c>
      <c r="E1802" s="8">
        <f>IFERROR(__xludf.DUMMYFUNCTION("GOOGLETRANSLATE(B1834, ""zh"", ""vi"")"),"#VALUE!")</f>
        <v/>
      </c>
      <c r="H1802" s="9">
        <f>G1834=B1834</f>
        <v/>
      </c>
    </row>
    <row r="1803">
      <c r="B1803" s="11" t="n"/>
      <c r="C1803" s="8">
        <f>pinyin(B1835)</f>
        <v/>
      </c>
      <c r="E1803" s="8">
        <f>IFERROR(__xludf.DUMMYFUNCTION("GOOGLETRANSLATE(B1835, ""zh"", ""vi"")"),"#VALUE!")</f>
        <v/>
      </c>
      <c r="H1803" s="9">
        <f>G1835=B1835</f>
        <v/>
      </c>
    </row>
    <row r="1804">
      <c r="B1804" s="11" t="n"/>
      <c r="C1804" s="8">
        <f>pinyin(B1836)</f>
        <v/>
      </c>
      <c r="E1804" s="8">
        <f>IFERROR(__xludf.DUMMYFUNCTION("GOOGLETRANSLATE(B1836, ""zh"", ""vi"")"),"#VALUE!")</f>
        <v/>
      </c>
      <c r="H1804" s="9">
        <f>G1836=B1836</f>
        <v/>
      </c>
    </row>
    <row r="1805">
      <c r="B1805" s="11" t="n"/>
      <c r="C1805" s="8">
        <f>pinyin(B1837)</f>
        <v/>
      </c>
      <c r="E1805" s="8">
        <f>IFERROR(__xludf.DUMMYFUNCTION("GOOGLETRANSLATE(B1837, ""zh"", ""vi"")"),"#VALUE!")</f>
        <v/>
      </c>
      <c r="H1805" s="9">
        <f>G1837=B1837</f>
        <v/>
      </c>
    </row>
    <row r="1806">
      <c r="B1806" s="11" t="n"/>
      <c r="C1806" s="8">
        <f>pinyin(B1838)</f>
        <v/>
      </c>
      <c r="E1806" s="8">
        <f>IFERROR(__xludf.DUMMYFUNCTION("GOOGLETRANSLATE(B1838, ""zh"", ""vi"")"),"#VALUE!")</f>
        <v/>
      </c>
      <c r="H1806" s="9">
        <f>G1838=B1838</f>
        <v/>
      </c>
    </row>
    <row r="1807">
      <c r="B1807" s="11" t="n"/>
      <c r="C1807" s="8">
        <f>pinyin(B1839)</f>
        <v/>
      </c>
      <c r="E1807" s="8">
        <f>IFERROR(__xludf.DUMMYFUNCTION("GOOGLETRANSLATE(B1839, ""zh"", ""vi"")"),"#VALUE!")</f>
        <v/>
      </c>
      <c r="H1807" s="9">
        <f>G1839=B1839</f>
        <v/>
      </c>
    </row>
    <row r="1808">
      <c r="B1808" s="11" t="n"/>
      <c r="C1808" s="8">
        <f>pinyin(B1840)</f>
        <v/>
      </c>
      <c r="E1808" s="8">
        <f>IFERROR(__xludf.DUMMYFUNCTION("GOOGLETRANSLATE(B1840, ""zh"", ""vi"")"),"#VALUE!")</f>
        <v/>
      </c>
      <c r="H1808" s="9">
        <f>G1840=B1840</f>
        <v/>
      </c>
    </row>
    <row r="1809">
      <c r="B1809" s="11" t="n"/>
      <c r="C1809" s="8">
        <f>pinyin(B1841)</f>
        <v/>
      </c>
      <c r="E1809" s="8">
        <f>IFERROR(__xludf.DUMMYFUNCTION("GOOGLETRANSLATE(B1841, ""zh"", ""vi"")"),"#VALUE!")</f>
        <v/>
      </c>
      <c r="H1809" s="9">
        <f>G1841=B1841</f>
        <v/>
      </c>
    </row>
    <row r="1810">
      <c r="B1810" s="11" t="n"/>
      <c r="C1810" s="8">
        <f>pinyin(B1842)</f>
        <v/>
      </c>
      <c r="E1810" s="8">
        <f>IFERROR(__xludf.DUMMYFUNCTION("GOOGLETRANSLATE(B1842, ""zh"", ""vi"")"),"#VALUE!")</f>
        <v/>
      </c>
      <c r="H1810" s="9">
        <f>G1842=B1842</f>
        <v/>
      </c>
    </row>
    <row r="1811">
      <c r="B1811" s="11" t="n"/>
      <c r="C1811" s="8">
        <f>pinyin(B1843)</f>
        <v/>
      </c>
      <c r="E1811" s="8">
        <f>IFERROR(__xludf.DUMMYFUNCTION("GOOGLETRANSLATE(B1843, ""zh"", ""vi"")"),"#VALUE!")</f>
        <v/>
      </c>
      <c r="H1811" s="9">
        <f>G1843=B1843</f>
        <v/>
      </c>
    </row>
    <row r="1812">
      <c r="B1812" s="11" t="n"/>
      <c r="C1812" s="8">
        <f>pinyin(B1844)</f>
        <v/>
      </c>
      <c r="E1812" s="8">
        <f>IFERROR(__xludf.DUMMYFUNCTION("GOOGLETRANSLATE(B1844, ""zh"", ""vi"")"),"#VALUE!")</f>
        <v/>
      </c>
      <c r="H1812" s="9">
        <f>G1844=B1844</f>
        <v/>
      </c>
    </row>
    <row r="1813">
      <c r="B1813" s="11" t="n"/>
      <c r="C1813" s="8">
        <f>pinyin(B1845)</f>
        <v/>
      </c>
      <c r="E1813" s="8">
        <f>IFERROR(__xludf.DUMMYFUNCTION("GOOGLETRANSLATE(B1845, ""zh"", ""vi"")"),"#VALUE!")</f>
        <v/>
      </c>
      <c r="H1813" s="9">
        <f>G1845=B1845</f>
        <v/>
      </c>
    </row>
    <row r="1814">
      <c r="B1814" s="11" t="n"/>
      <c r="C1814" s="8">
        <f>pinyin(B1846)</f>
        <v/>
      </c>
      <c r="E1814" s="8">
        <f>IFERROR(__xludf.DUMMYFUNCTION("GOOGLETRANSLATE(B1846, ""zh"", ""vi"")"),"#VALUE!")</f>
        <v/>
      </c>
      <c r="H1814" s="9">
        <f>G1846=B1846</f>
        <v/>
      </c>
    </row>
    <row r="1815">
      <c r="B1815" s="11" t="n"/>
      <c r="C1815" s="8">
        <f>pinyin(B1847)</f>
        <v/>
      </c>
      <c r="E1815" s="8">
        <f>IFERROR(__xludf.DUMMYFUNCTION("GOOGLETRANSLATE(B1847, ""zh"", ""vi"")"),"#VALUE!")</f>
        <v/>
      </c>
      <c r="H1815" s="9">
        <f>G1847=B1847</f>
        <v/>
      </c>
    </row>
    <row r="1816">
      <c r="B1816" s="11" t="n"/>
      <c r="C1816" s="8">
        <f>pinyin(B1848)</f>
        <v/>
      </c>
      <c r="E1816" s="8">
        <f>IFERROR(__xludf.DUMMYFUNCTION("GOOGLETRANSLATE(B1848, ""zh"", ""vi"")"),"#VALUE!")</f>
        <v/>
      </c>
      <c r="H1816" s="9">
        <f>G1848=B1848</f>
        <v/>
      </c>
    </row>
    <row r="1817">
      <c r="B1817" s="11" t="n"/>
      <c r="C1817" s="8">
        <f>pinyin(B1849)</f>
        <v/>
      </c>
      <c r="E1817" s="8">
        <f>IFERROR(__xludf.DUMMYFUNCTION("GOOGLETRANSLATE(B1849, ""zh"", ""vi"")"),"#VALUE!")</f>
        <v/>
      </c>
      <c r="H1817" s="9">
        <f>G1849=B1849</f>
        <v/>
      </c>
    </row>
    <row r="1818">
      <c r="B1818" s="11" t="n"/>
      <c r="C1818" s="8">
        <f>pinyin(B1850)</f>
        <v/>
      </c>
      <c r="E1818" s="8">
        <f>IFERROR(__xludf.DUMMYFUNCTION("GOOGLETRANSLATE(B1850, ""zh"", ""vi"")"),"#VALUE!")</f>
        <v/>
      </c>
      <c r="H1818" s="9">
        <f>G1850=B1850</f>
        <v/>
      </c>
    </row>
    <row r="1819">
      <c r="B1819" s="11" t="n"/>
      <c r="C1819" s="8">
        <f>pinyin(B1851)</f>
        <v/>
      </c>
      <c r="E1819" s="8">
        <f>IFERROR(__xludf.DUMMYFUNCTION("GOOGLETRANSLATE(B1851, ""zh"", ""vi"")"),"#VALUE!")</f>
        <v/>
      </c>
      <c r="H1819" s="9">
        <f>G1851=B1851</f>
        <v/>
      </c>
    </row>
    <row r="1820">
      <c r="B1820" s="11" t="n"/>
      <c r="C1820" s="8">
        <f>pinyin(B1852)</f>
        <v/>
      </c>
      <c r="E1820" s="8">
        <f>IFERROR(__xludf.DUMMYFUNCTION("GOOGLETRANSLATE(B1852, ""zh"", ""vi"")"),"#VALUE!")</f>
        <v/>
      </c>
      <c r="H1820" s="9">
        <f>G1852=B1852</f>
        <v/>
      </c>
    </row>
    <row r="1821">
      <c r="B1821" s="11" t="n"/>
      <c r="C1821" s="8">
        <f>pinyin(B1853)</f>
        <v/>
      </c>
      <c r="E1821" s="8">
        <f>IFERROR(__xludf.DUMMYFUNCTION("GOOGLETRANSLATE(B1853, ""zh"", ""vi"")"),"#VALUE!")</f>
        <v/>
      </c>
      <c r="H1821" s="9">
        <f>G1853=B1853</f>
        <v/>
      </c>
    </row>
    <row r="1822">
      <c r="B1822" s="11" t="n"/>
      <c r="C1822" s="8">
        <f>pinyin(B1854)</f>
        <v/>
      </c>
      <c r="E1822" s="8">
        <f>IFERROR(__xludf.DUMMYFUNCTION("GOOGLETRANSLATE(B1854, ""zh"", ""vi"")"),"#VALUE!")</f>
        <v/>
      </c>
      <c r="H1822" s="9">
        <f>G1854=B1854</f>
        <v/>
      </c>
    </row>
    <row r="1823">
      <c r="B1823" s="11" t="n"/>
      <c r="C1823" s="8">
        <f>pinyin(B1855)</f>
        <v/>
      </c>
      <c r="E1823" s="8">
        <f>IFERROR(__xludf.DUMMYFUNCTION("GOOGLETRANSLATE(B1855, ""zh"", ""vi"")"),"#VALUE!")</f>
        <v/>
      </c>
      <c r="H1823" s="9">
        <f>G1855=B1855</f>
        <v/>
      </c>
    </row>
    <row r="1824">
      <c r="B1824" s="11" t="n"/>
      <c r="C1824" s="8">
        <f>pinyin(B1856)</f>
        <v/>
      </c>
      <c r="E1824" s="8">
        <f>IFERROR(__xludf.DUMMYFUNCTION("GOOGLETRANSLATE(B1856, ""zh"", ""vi"")"),"#VALUE!")</f>
        <v/>
      </c>
      <c r="H1824" s="9">
        <f>G1856=B1856</f>
        <v/>
      </c>
    </row>
    <row r="1825">
      <c r="B1825" s="11" t="n"/>
      <c r="C1825" s="8">
        <f>pinyin(B1857)</f>
        <v/>
      </c>
      <c r="E1825" s="8">
        <f>IFERROR(__xludf.DUMMYFUNCTION("GOOGLETRANSLATE(B1857, ""zh"", ""vi"")"),"#VALUE!")</f>
        <v/>
      </c>
      <c r="H1825" s="9">
        <f>G1857=B1857</f>
        <v/>
      </c>
    </row>
    <row r="1826">
      <c r="B1826" s="11" t="n"/>
      <c r="C1826" s="8">
        <f>pinyin(B1858)</f>
        <v/>
      </c>
      <c r="E1826" s="8">
        <f>IFERROR(__xludf.DUMMYFUNCTION("GOOGLETRANSLATE(B1858, ""zh"", ""vi"")"),"#VALUE!")</f>
        <v/>
      </c>
      <c r="H1826" s="9">
        <f>G1858=B1858</f>
        <v/>
      </c>
    </row>
    <row r="1827">
      <c r="B1827" s="11" t="n"/>
      <c r="C1827" s="8">
        <f>pinyin(B1859)</f>
        <v/>
      </c>
      <c r="E1827" s="8">
        <f>IFERROR(__xludf.DUMMYFUNCTION("GOOGLETRANSLATE(B1859, ""zh"", ""vi"")"),"#VALUE!")</f>
        <v/>
      </c>
      <c r="H1827" s="9">
        <f>G1859=B1859</f>
        <v/>
      </c>
    </row>
    <row r="1828">
      <c r="B1828" s="11" t="n"/>
      <c r="C1828" s="8">
        <f>pinyin(B1860)</f>
        <v/>
      </c>
      <c r="E1828" s="8">
        <f>IFERROR(__xludf.DUMMYFUNCTION("GOOGLETRANSLATE(B1860, ""zh"", ""vi"")"),"#VALUE!")</f>
        <v/>
      </c>
      <c r="H1828" s="9">
        <f>G1860=B1860</f>
        <v/>
      </c>
    </row>
    <row r="1829">
      <c r="B1829" s="11" t="n"/>
      <c r="C1829" s="8">
        <f>pinyin(B1861)</f>
        <v/>
      </c>
      <c r="E1829" s="8">
        <f>IFERROR(__xludf.DUMMYFUNCTION("GOOGLETRANSLATE(B1861, ""zh"", ""vi"")"),"#VALUE!")</f>
        <v/>
      </c>
      <c r="H1829" s="9">
        <f>G1861=B1861</f>
        <v/>
      </c>
    </row>
    <row r="1830">
      <c r="B1830" s="11" t="n"/>
      <c r="C1830" s="8">
        <f>pinyin(B1862)</f>
        <v/>
      </c>
      <c r="E1830" s="8">
        <f>IFERROR(__xludf.DUMMYFUNCTION("GOOGLETRANSLATE(B1862, ""zh"", ""vi"")"),"#VALUE!")</f>
        <v/>
      </c>
      <c r="H1830" s="9">
        <f>G1862=B1862</f>
        <v/>
      </c>
    </row>
    <row r="1831">
      <c r="B1831" s="11" t="n"/>
      <c r="C1831" s="8">
        <f>pinyin(B1863)</f>
        <v/>
      </c>
      <c r="E1831" s="8">
        <f>IFERROR(__xludf.DUMMYFUNCTION("GOOGLETRANSLATE(B1863, ""zh"", ""vi"")"),"#VALUE!")</f>
        <v/>
      </c>
      <c r="H1831" s="9">
        <f>G1863=B1863</f>
        <v/>
      </c>
    </row>
    <row r="1832">
      <c r="B1832" s="11" t="n"/>
      <c r="C1832" s="8">
        <f>pinyin(B1864)</f>
        <v/>
      </c>
      <c r="E1832" s="8">
        <f>IFERROR(__xludf.DUMMYFUNCTION("GOOGLETRANSLATE(B1864, ""zh"", ""vi"")"),"#VALUE!")</f>
        <v/>
      </c>
      <c r="H1832" s="9">
        <f>G1864=B1864</f>
        <v/>
      </c>
    </row>
    <row r="1833">
      <c r="B1833" s="11" t="n"/>
      <c r="C1833" s="8">
        <f>pinyin(B1865)</f>
        <v/>
      </c>
      <c r="E1833" s="8">
        <f>IFERROR(__xludf.DUMMYFUNCTION("GOOGLETRANSLATE(B1865, ""zh"", ""vi"")"),"#VALUE!")</f>
        <v/>
      </c>
      <c r="H1833" s="9">
        <f>G1865=B1865</f>
        <v/>
      </c>
    </row>
    <row r="1834">
      <c r="B1834" s="11" t="n"/>
      <c r="C1834" s="8">
        <f>pinyin(B1866)</f>
        <v/>
      </c>
      <c r="E1834" s="8">
        <f>IFERROR(__xludf.DUMMYFUNCTION("GOOGLETRANSLATE(B1866, ""zh"", ""vi"")"),"#VALUE!")</f>
        <v/>
      </c>
      <c r="H1834" s="9">
        <f>G1866=B1866</f>
        <v/>
      </c>
    </row>
    <row r="1835">
      <c r="B1835" s="11" t="n"/>
      <c r="C1835" s="8">
        <f>pinyin(B1867)</f>
        <v/>
      </c>
      <c r="E1835" s="8">
        <f>IFERROR(__xludf.DUMMYFUNCTION("GOOGLETRANSLATE(B1867, ""zh"", ""vi"")"),"#VALUE!")</f>
        <v/>
      </c>
      <c r="H1835" s="9">
        <f>G1867=B1867</f>
        <v/>
      </c>
    </row>
    <row r="1836">
      <c r="B1836" s="11" t="n"/>
      <c r="C1836" s="8">
        <f>pinyin(B1868)</f>
        <v/>
      </c>
      <c r="E1836" s="8">
        <f>IFERROR(__xludf.DUMMYFUNCTION("GOOGLETRANSLATE(B1868, ""zh"", ""vi"")"),"#VALUE!")</f>
        <v/>
      </c>
      <c r="H1836" s="9">
        <f>G1868=B1868</f>
        <v/>
      </c>
    </row>
    <row r="1837">
      <c r="B1837" s="11" t="n"/>
      <c r="C1837" s="8">
        <f>pinyin(B1869)</f>
        <v/>
      </c>
      <c r="E1837" s="8">
        <f>IFERROR(__xludf.DUMMYFUNCTION("GOOGLETRANSLATE(B1869, ""zh"", ""vi"")"),"#VALUE!")</f>
        <v/>
      </c>
      <c r="H1837" s="9">
        <f>G1869=B1869</f>
        <v/>
      </c>
    </row>
    <row r="1838">
      <c r="B1838" s="11" t="n"/>
      <c r="C1838" s="8">
        <f>pinyin(B1870)</f>
        <v/>
      </c>
      <c r="E1838" s="8">
        <f>IFERROR(__xludf.DUMMYFUNCTION("GOOGLETRANSLATE(B1870, ""zh"", ""vi"")"),"#VALUE!")</f>
        <v/>
      </c>
      <c r="H1838" s="9">
        <f>G1870=B1870</f>
        <v/>
      </c>
    </row>
    <row r="1839">
      <c r="B1839" s="11" t="n"/>
      <c r="C1839" s="8">
        <f>pinyin(B1871)</f>
        <v/>
      </c>
      <c r="E1839" s="8">
        <f>IFERROR(__xludf.DUMMYFUNCTION("GOOGLETRANSLATE(B1871, ""zh"", ""vi"")"),"#VALUE!")</f>
        <v/>
      </c>
      <c r="H1839" s="9">
        <f>G1871=B1871</f>
        <v/>
      </c>
    </row>
    <row r="1840">
      <c r="B1840" s="11" t="n"/>
      <c r="C1840" s="8">
        <f>pinyin(B1872)</f>
        <v/>
      </c>
      <c r="E1840" s="8">
        <f>IFERROR(__xludf.DUMMYFUNCTION("GOOGLETRANSLATE(B1872, ""zh"", ""vi"")"),"#VALUE!")</f>
        <v/>
      </c>
      <c r="H1840" s="9">
        <f>G1872=B1872</f>
        <v/>
      </c>
    </row>
    <row r="1841">
      <c r="B1841" s="11" t="n"/>
      <c r="C1841" s="8">
        <f>pinyin(B1873)</f>
        <v/>
      </c>
      <c r="E1841" s="8">
        <f>IFERROR(__xludf.DUMMYFUNCTION("GOOGLETRANSLATE(B1873, ""zh"", ""vi"")"),"#VALUE!")</f>
        <v/>
      </c>
      <c r="H1841" s="9">
        <f>G1873=B1873</f>
        <v/>
      </c>
    </row>
    <row r="1842">
      <c r="B1842" s="11" t="n"/>
      <c r="C1842" s="8">
        <f>pinyin(B1874)</f>
        <v/>
      </c>
      <c r="E1842" s="8">
        <f>IFERROR(__xludf.DUMMYFUNCTION("GOOGLETRANSLATE(B1874, ""zh"", ""vi"")"),"#VALUE!")</f>
        <v/>
      </c>
      <c r="H1842" s="9">
        <f>G1874=B1874</f>
        <v/>
      </c>
    </row>
    <row r="1843">
      <c r="B1843" s="11" t="n"/>
      <c r="C1843" s="8">
        <f>pinyin(B1875)</f>
        <v/>
      </c>
      <c r="E1843" s="8">
        <f>IFERROR(__xludf.DUMMYFUNCTION("GOOGLETRANSLATE(B1875, ""zh"", ""vi"")"),"#VALUE!")</f>
        <v/>
      </c>
      <c r="H1843" s="9">
        <f>G1875=B1875</f>
        <v/>
      </c>
    </row>
    <row r="1844">
      <c r="B1844" s="11" t="n"/>
      <c r="C1844" s="8">
        <f>pinyin(B1876)</f>
        <v/>
      </c>
      <c r="E1844" s="8">
        <f>IFERROR(__xludf.DUMMYFUNCTION("GOOGLETRANSLATE(B1876, ""zh"", ""vi"")"),"#VALUE!")</f>
        <v/>
      </c>
      <c r="H1844" s="9">
        <f>G1876=B1876</f>
        <v/>
      </c>
    </row>
    <row r="1845">
      <c r="B1845" s="11" t="n"/>
      <c r="C1845" s="8">
        <f>pinyin(B1877)</f>
        <v/>
      </c>
      <c r="E1845" s="8">
        <f>IFERROR(__xludf.DUMMYFUNCTION("GOOGLETRANSLATE(B1877, ""zh"", ""vi"")"),"#VALUE!")</f>
        <v/>
      </c>
      <c r="H1845" s="9">
        <f>G1877=B1877</f>
        <v/>
      </c>
    </row>
    <row r="1846">
      <c r="B1846" s="11" t="n"/>
      <c r="C1846" s="8">
        <f>pinyin(B1878)</f>
        <v/>
      </c>
      <c r="E1846" s="8">
        <f>IFERROR(__xludf.DUMMYFUNCTION("GOOGLETRANSLATE(B1878, ""zh"", ""vi"")"),"#VALUE!")</f>
        <v/>
      </c>
      <c r="H1846" s="9">
        <f>G1878=B1878</f>
        <v/>
      </c>
    </row>
    <row r="1847">
      <c r="B1847" s="11" t="n"/>
      <c r="C1847" s="8">
        <f>pinyin(B1879)</f>
        <v/>
      </c>
      <c r="E1847" s="8">
        <f>IFERROR(__xludf.DUMMYFUNCTION("GOOGLETRANSLATE(B1879, ""zh"", ""vi"")"),"#VALUE!")</f>
        <v/>
      </c>
      <c r="H1847" s="9">
        <f>G1879=B1879</f>
        <v/>
      </c>
    </row>
    <row r="1848">
      <c r="B1848" s="11" t="n"/>
      <c r="C1848" s="8">
        <f>pinyin(B1880)</f>
        <v/>
      </c>
      <c r="E1848" s="8">
        <f>IFERROR(__xludf.DUMMYFUNCTION("GOOGLETRANSLATE(B1880, ""zh"", ""vi"")"),"#VALUE!")</f>
        <v/>
      </c>
      <c r="H1848" s="9">
        <f>G1880=B1880</f>
        <v/>
      </c>
    </row>
    <row r="1849">
      <c r="B1849" s="11" t="n"/>
      <c r="C1849" s="8">
        <f>pinyin(B1881)</f>
        <v/>
      </c>
      <c r="E1849" s="8">
        <f>IFERROR(__xludf.DUMMYFUNCTION("GOOGLETRANSLATE(B1881, ""zh"", ""vi"")"),"#VALUE!")</f>
        <v/>
      </c>
      <c r="H1849" s="9">
        <f>G1881=B1881</f>
        <v/>
      </c>
    </row>
    <row r="1850">
      <c r="B1850" s="11" t="n"/>
      <c r="C1850" s="8">
        <f>pinyin(B1882)</f>
        <v/>
      </c>
      <c r="E1850" s="8">
        <f>IFERROR(__xludf.DUMMYFUNCTION("GOOGLETRANSLATE(B1882, ""zh"", ""vi"")"),"#VALUE!")</f>
        <v/>
      </c>
      <c r="H1850" s="9">
        <f>G1882=B1882</f>
        <v/>
      </c>
    </row>
    <row r="1851">
      <c r="B1851" s="11" t="n"/>
      <c r="C1851" s="8">
        <f>pinyin(B1883)</f>
        <v/>
      </c>
      <c r="E1851" s="8">
        <f>IFERROR(__xludf.DUMMYFUNCTION("GOOGLETRANSLATE(B1883, ""zh"", ""vi"")"),"#VALUE!")</f>
        <v/>
      </c>
      <c r="H1851" s="9">
        <f>G1883=B1883</f>
        <v/>
      </c>
    </row>
    <row r="1852">
      <c r="B1852" s="11" t="n"/>
      <c r="C1852" s="8">
        <f>pinyin(B1884)</f>
        <v/>
      </c>
      <c r="E1852" s="8">
        <f>IFERROR(__xludf.DUMMYFUNCTION("GOOGLETRANSLATE(B1884, ""zh"", ""vi"")"),"#VALUE!")</f>
        <v/>
      </c>
      <c r="H1852" s="9">
        <f>G1884=B1884</f>
        <v/>
      </c>
    </row>
    <row r="1853">
      <c r="B1853" s="11" t="n"/>
      <c r="C1853" s="8">
        <f>pinyin(B1885)</f>
        <v/>
      </c>
      <c r="E1853" s="8">
        <f>IFERROR(__xludf.DUMMYFUNCTION("GOOGLETRANSLATE(B1885, ""zh"", ""vi"")"),"#VALUE!")</f>
        <v/>
      </c>
      <c r="H1853" s="9">
        <f>G1885=B1885</f>
        <v/>
      </c>
    </row>
    <row r="1854">
      <c r="B1854" s="11" t="n"/>
      <c r="C1854" s="8">
        <f>pinyin(B1886)</f>
        <v/>
      </c>
      <c r="E1854" s="8">
        <f>IFERROR(__xludf.DUMMYFUNCTION("GOOGLETRANSLATE(B1886, ""zh"", ""vi"")"),"#VALUE!")</f>
        <v/>
      </c>
      <c r="H1854" s="9">
        <f>G1886=B1886</f>
        <v/>
      </c>
    </row>
    <row r="1855">
      <c r="B1855" s="11" t="n"/>
      <c r="C1855" s="8">
        <f>pinyin(B1887)</f>
        <v/>
      </c>
      <c r="E1855" s="8">
        <f>IFERROR(__xludf.DUMMYFUNCTION("GOOGLETRANSLATE(B1887, ""zh"", ""vi"")"),"#VALUE!")</f>
        <v/>
      </c>
      <c r="H1855" s="9">
        <f>G1887=B1887</f>
        <v/>
      </c>
    </row>
    <row r="1856">
      <c r="B1856" s="11" t="n"/>
      <c r="C1856" s="8">
        <f>pinyin(B1888)</f>
        <v/>
      </c>
      <c r="E1856" s="8">
        <f>IFERROR(__xludf.DUMMYFUNCTION("GOOGLETRANSLATE(B1888, ""zh"", ""vi"")"),"#VALUE!")</f>
        <v/>
      </c>
      <c r="H1856" s="9">
        <f>G1888=B1888</f>
        <v/>
      </c>
    </row>
    <row r="1857">
      <c r="B1857" s="11" t="n"/>
      <c r="C1857" s="8">
        <f>pinyin(B1889)</f>
        <v/>
      </c>
      <c r="E1857" s="8">
        <f>IFERROR(__xludf.DUMMYFUNCTION("GOOGLETRANSLATE(B1889, ""zh"", ""vi"")"),"#VALUE!")</f>
        <v/>
      </c>
      <c r="H1857" s="9">
        <f>G1889=B1889</f>
        <v/>
      </c>
    </row>
    <row r="1858">
      <c r="B1858" s="11" t="n"/>
      <c r="C1858" s="8">
        <f>pinyin(B1890)</f>
        <v/>
      </c>
      <c r="E1858" s="8">
        <f>IFERROR(__xludf.DUMMYFUNCTION("GOOGLETRANSLATE(B1890, ""zh"", ""vi"")"),"#VALUE!")</f>
        <v/>
      </c>
      <c r="H1858" s="9">
        <f>G1890=B1890</f>
        <v/>
      </c>
    </row>
    <row r="1859">
      <c r="B1859" s="11" t="n"/>
      <c r="C1859" s="8">
        <f>pinyin(B1891)</f>
        <v/>
      </c>
      <c r="E1859" s="8">
        <f>IFERROR(__xludf.DUMMYFUNCTION("GOOGLETRANSLATE(B1891, ""zh"", ""vi"")"),"#VALUE!")</f>
        <v/>
      </c>
      <c r="H1859" s="9">
        <f>G1891=B1891</f>
        <v/>
      </c>
    </row>
    <row r="1860">
      <c r="B1860" s="11" t="n"/>
      <c r="C1860" s="8">
        <f>pinyin(B1892)</f>
        <v/>
      </c>
      <c r="E1860" s="8">
        <f>IFERROR(__xludf.DUMMYFUNCTION("GOOGLETRANSLATE(B1892, ""zh"", ""vi"")"),"#VALUE!")</f>
        <v/>
      </c>
      <c r="H1860" s="9">
        <f>G1892=B1892</f>
        <v/>
      </c>
    </row>
    <row r="1861">
      <c r="B1861" s="11" t="n"/>
      <c r="C1861" s="8">
        <f>pinyin(B1893)</f>
        <v/>
      </c>
      <c r="E1861" s="8">
        <f>IFERROR(__xludf.DUMMYFUNCTION("GOOGLETRANSLATE(B1893, ""zh"", ""vi"")"),"#VALUE!")</f>
        <v/>
      </c>
      <c r="H1861" s="9">
        <f>G1893=B1893</f>
        <v/>
      </c>
    </row>
    <row r="1862">
      <c r="B1862" s="11" t="n"/>
      <c r="C1862" s="8">
        <f>pinyin(B1894)</f>
        <v/>
      </c>
      <c r="E1862" s="8">
        <f>IFERROR(__xludf.DUMMYFUNCTION("GOOGLETRANSLATE(B1894, ""zh"", ""vi"")"),"#VALUE!")</f>
        <v/>
      </c>
      <c r="H1862" s="9">
        <f>G1894=B1894</f>
        <v/>
      </c>
    </row>
    <row r="1863">
      <c r="B1863" s="11" t="n"/>
      <c r="C1863" s="8">
        <f>pinyin(B1895)</f>
        <v/>
      </c>
      <c r="E1863" s="8">
        <f>IFERROR(__xludf.DUMMYFUNCTION("GOOGLETRANSLATE(B1895, ""zh"", ""vi"")"),"#VALUE!")</f>
        <v/>
      </c>
      <c r="H1863" s="9">
        <f>G1895=B1895</f>
        <v/>
      </c>
    </row>
    <row r="1864">
      <c r="B1864" s="11" t="n"/>
      <c r="C1864" s="8">
        <f>pinyin(B1896)</f>
        <v/>
      </c>
      <c r="E1864" s="8">
        <f>IFERROR(__xludf.DUMMYFUNCTION("GOOGLETRANSLATE(B1896, ""zh"", ""vi"")"),"#VALUE!")</f>
        <v/>
      </c>
      <c r="H1864" s="9">
        <f>G1896=B1896</f>
        <v/>
      </c>
    </row>
    <row r="1865">
      <c r="B1865" s="11" t="n"/>
      <c r="C1865" s="8">
        <f>pinyin(B1897)</f>
        <v/>
      </c>
      <c r="E1865" s="8">
        <f>IFERROR(__xludf.DUMMYFUNCTION("GOOGLETRANSLATE(B1897, ""zh"", ""vi"")"),"#VALUE!")</f>
        <v/>
      </c>
      <c r="H1865" s="9">
        <f>G1897=B1897</f>
        <v/>
      </c>
    </row>
    <row r="1866">
      <c r="B1866" s="11" t="n"/>
      <c r="C1866" s="8">
        <f>pinyin(B1898)</f>
        <v/>
      </c>
      <c r="E1866" s="8">
        <f>IFERROR(__xludf.DUMMYFUNCTION("GOOGLETRANSLATE(B1898, ""zh"", ""vi"")"),"#VALUE!")</f>
        <v/>
      </c>
      <c r="H1866" s="9">
        <f>G1898=B1898</f>
        <v/>
      </c>
    </row>
    <row r="1867">
      <c r="B1867" s="11" t="n"/>
      <c r="C1867" s="8">
        <f>pinyin(B1899)</f>
        <v/>
      </c>
      <c r="E1867" s="8">
        <f>IFERROR(__xludf.DUMMYFUNCTION("GOOGLETRANSLATE(B1899, ""zh"", ""vi"")"),"#VALUE!")</f>
        <v/>
      </c>
      <c r="H1867" s="9">
        <f>G1899=B1899</f>
        <v/>
      </c>
    </row>
    <row r="1868">
      <c r="B1868" s="11" t="n"/>
      <c r="C1868" s="8">
        <f>pinyin(B1900)</f>
        <v/>
      </c>
      <c r="E1868" s="8">
        <f>IFERROR(__xludf.DUMMYFUNCTION("GOOGLETRANSLATE(B1900, ""zh"", ""vi"")"),"#VALUE!")</f>
        <v/>
      </c>
      <c r="H1868" s="9">
        <f>G1900=B1900</f>
        <v/>
      </c>
    </row>
    <row r="1869">
      <c r="B1869" s="11" t="n"/>
      <c r="C1869" s="8">
        <f>pinyin(B1901)</f>
        <v/>
      </c>
      <c r="E1869" s="8">
        <f>IFERROR(__xludf.DUMMYFUNCTION("GOOGLETRANSLATE(B1901, ""zh"", ""vi"")"),"#VALUE!")</f>
        <v/>
      </c>
      <c r="H1869" s="9">
        <f>G1901=B1901</f>
        <v/>
      </c>
    </row>
    <row r="1870">
      <c r="B1870" s="11" t="n"/>
      <c r="C1870" s="8">
        <f>pinyin(B1902)</f>
        <v/>
      </c>
      <c r="E1870" s="8">
        <f>IFERROR(__xludf.DUMMYFUNCTION("GOOGLETRANSLATE(B1902, ""zh"", ""vi"")"),"#VALUE!")</f>
        <v/>
      </c>
      <c r="H1870" s="9">
        <f>G1902=B1902</f>
        <v/>
      </c>
    </row>
    <row r="1871">
      <c r="B1871" s="11" t="n"/>
      <c r="C1871" s="8">
        <f>pinyin(B1903)</f>
        <v/>
      </c>
      <c r="E1871" s="8">
        <f>IFERROR(__xludf.DUMMYFUNCTION("GOOGLETRANSLATE(B1903, ""zh"", ""vi"")"),"#VALUE!")</f>
        <v/>
      </c>
      <c r="H1871" s="9">
        <f>G1903=B1903</f>
        <v/>
      </c>
    </row>
    <row r="1872">
      <c r="B1872" s="11" t="n"/>
      <c r="C1872" s="8">
        <f>pinyin(B1904)</f>
        <v/>
      </c>
      <c r="E1872" s="8">
        <f>IFERROR(__xludf.DUMMYFUNCTION("GOOGLETRANSLATE(B1904, ""zh"", ""vi"")"),"#VALUE!")</f>
        <v/>
      </c>
      <c r="H1872" s="9">
        <f>G1904=B1904</f>
        <v/>
      </c>
    </row>
    <row r="1873">
      <c r="B1873" s="11" t="n"/>
      <c r="C1873" s="8">
        <f>pinyin(B1905)</f>
        <v/>
      </c>
      <c r="E1873" s="8">
        <f>IFERROR(__xludf.DUMMYFUNCTION("GOOGLETRANSLATE(B1905, ""zh"", ""vi"")"),"#VALUE!")</f>
        <v/>
      </c>
      <c r="H1873" s="9">
        <f>G1905=B1905</f>
        <v/>
      </c>
    </row>
    <row r="1874">
      <c r="B1874" s="11" t="n"/>
      <c r="C1874" s="8">
        <f>pinyin(B1906)</f>
        <v/>
      </c>
      <c r="E1874" s="8">
        <f>IFERROR(__xludf.DUMMYFUNCTION("GOOGLETRANSLATE(B1906, ""zh"", ""vi"")"),"#VALUE!")</f>
        <v/>
      </c>
      <c r="H1874" s="9">
        <f>G1906=B1906</f>
        <v/>
      </c>
    </row>
    <row r="1875">
      <c r="B1875" s="11" t="n"/>
      <c r="C1875" s="8">
        <f>pinyin(B1907)</f>
        <v/>
      </c>
      <c r="E1875" s="8">
        <f>IFERROR(__xludf.DUMMYFUNCTION("GOOGLETRANSLATE(B1907, ""zh"", ""vi"")"),"#VALUE!")</f>
        <v/>
      </c>
      <c r="H1875" s="9">
        <f>G1907=B1907</f>
        <v/>
      </c>
    </row>
    <row r="1876">
      <c r="B1876" s="11" t="n"/>
      <c r="C1876" s="8">
        <f>pinyin(B1908)</f>
        <v/>
      </c>
      <c r="E1876" s="8">
        <f>IFERROR(__xludf.DUMMYFUNCTION("GOOGLETRANSLATE(B1908, ""zh"", ""vi"")"),"#VALUE!")</f>
        <v/>
      </c>
      <c r="H1876" s="9">
        <f>G1908=B1908</f>
        <v/>
      </c>
    </row>
    <row r="1877">
      <c r="B1877" s="11" t="n"/>
      <c r="C1877" s="8">
        <f>pinyin(B1909)</f>
        <v/>
      </c>
      <c r="E1877" s="8">
        <f>IFERROR(__xludf.DUMMYFUNCTION("GOOGLETRANSLATE(B1909, ""zh"", ""vi"")"),"#VALUE!")</f>
        <v/>
      </c>
      <c r="H1877" s="9">
        <f>G1909=B1909</f>
        <v/>
      </c>
    </row>
    <row r="1878">
      <c r="B1878" s="11" t="n"/>
      <c r="C1878" s="8">
        <f>pinyin(B1910)</f>
        <v/>
      </c>
      <c r="E1878" s="8">
        <f>IFERROR(__xludf.DUMMYFUNCTION("GOOGLETRANSLATE(B1910, ""zh"", ""vi"")"),"#VALUE!")</f>
        <v/>
      </c>
      <c r="H1878" s="9">
        <f>G1910=B1910</f>
        <v/>
      </c>
    </row>
    <row r="1879">
      <c r="B1879" s="11" t="n"/>
      <c r="C1879" s="8">
        <f>pinyin(B1911)</f>
        <v/>
      </c>
      <c r="E1879" s="8">
        <f>IFERROR(__xludf.DUMMYFUNCTION("GOOGLETRANSLATE(B1911, ""zh"", ""vi"")"),"#VALUE!")</f>
        <v/>
      </c>
      <c r="H1879" s="9">
        <f>G1911=B1911</f>
        <v/>
      </c>
    </row>
    <row r="1880">
      <c r="B1880" s="11" t="n"/>
      <c r="C1880" s="8">
        <f>pinyin(B1912)</f>
        <v/>
      </c>
      <c r="E1880" s="8">
        <f>IFERROR(__xludf.DUMMYFUNCTION("GOOGLETRANSLATE(B1912, ""zh"", ""vi"")"),"#VALUE!")</f>
        <v/>
      </c>
      <c r="H1880" s="9">
        <f>G1912=B1912</f>
        <v/>
      </c>
    </row>
    <row r="1881">
      <c r="B1881" s="11" t="n"/>
      <c r="C1881" s="8">
        <f>pinyin(B1913)</f>
        <v/>
      </c>
      <c r="E1881" s="8">
        <f>IFERROR(__xludf.DUMMYFUNCTION("GOOGLETRANSLATE(B1913, ""zh"", ""vi"")"),"#VALUE!")</f>
        <v/>
      </c>
      <c r="H1881" s="9">
        <f>G1913=B1913</f>
        <v/>
      </c>
    </row>
    <row r="1882">
      <c r="B1882" s="11" t="n"/>
      <c r="C1882" s="8">
        <f>pinyin(B1914)</f>
        <v/>
      </c>
      <c r="E1882" s="8">
        <f>IFERROR(__xludf.DUMMYFUNCTION("GOOGLETRANSLATE(B1914, ""zh"", ""vi"")"),"#VALUE!")</f>
        <v/>
      </c>
      <c r="H1882" s="9">
        <f>G1914=B1914</f>
        <v/>
      </c>
    </row>
    <row r="1883">
      <c r="B1883" s="11" t="n"/>
      <c r="C1883" s="8">
        <f>pinyin(B1915)</f>
        <v/>
      </c>
      <c r="E1883" s="8">
        <f>IFERROR(__xludf.DUMMYFUNCTION("GOOGLETRANSLATE(B1915, ""zh"", ""vi"")"),"#VALUE!")</f>
        <v/>
      </c>
      <c r="H1883" s="9">
        <f>G1915=B1915</f>
        <v/>
      </c>
    </row>
    <row r="1884">
      <c r="B1884" s="11" t="n"/>
      <c r="C1884" s="8">
        <f>pinyin(B1916)</f>
        <v/>
      </c>
      <c r="E1884" s="8">
        <f>IFERROR(__xludf.DUMMYFUNCTION("GOOGLETRANSLATE(B1916, ""zh"", ""vi"")"),"#VALUE!")</f>
        <v/>
      </c>
      <c r="H1884" s="9">
        <f>G1916=B1916</f>
        <v/>
      </c>
    </row>
    <row r="1885">
      <c r="B1885" s="11" t="n"/>
      <c r="C1885" s="8">
        <f>pinyin(B1917)</f>
        <v/>
      </c>
      <c r="E1885" s="8">
        <f>IFERROR(__xludf.DUMMYFUNCTION("GOOGLETRANSLATE(B1917, ""zh"", ""vi"")"),"#VALUE!")</f>
        <v/>
      </c>
      <c r="H1885" s="9">
        <f>G1917=B1917</f>
        <v/>
      </c>
    </row>
    <row r="1886">
      <c r="B1886" s="11" t="n"/>
      <c r="C1886" s="8">
        <f>pinyin(B1918)</f>
        <v/>
      </c>
      <c r="E1886" s="8">
        <f>IFERROR(__xludf.DUMMYFUNCTION("GOOGLETRANSLATE(B1918, ""zh"", ""vi"")"),"#VALUE!")</f>
        <v/>
      </c>
      <c r="H1886" s="9">
        <f>G1918=B1918</f>
        <v/>
      </c>
    </row>
    <row r="1887">
      <c r="B1887" s="11" t="n"/>
      <c r="C1887" s="8">
        <f>pinyin(B1919)</f>
        <v/>
      </c>
      <c r="E1887" s="8">
        <f>IFERROR(__xludf.DUMMYFUNCTION("GOOGLETRANSLATE(B1919, ""zh"", ""vi"")"),"#VALUE!")</f>
        <v/>
      </c>
      <c r="H1887" s="9">
        <f>G1919=B1919</f>
        <v/>
      </c>
    </row>
    <row r="1888">
      <c r="B1888" s="11" t="n"/>
      <c r="C1888" s="8">
        <f>pinyin(B1920)</f>
        <v/>
      </c>
      <c r="E1888" s="8">
        <f>IFERROR(__xludf.DUMMYFUNCTION("GOOGLETRANSLATE(B1920, ""zh"", ""vi"")"),"#VALUE!")</f>
        <v/>
      </c>
      <c r="H1888" s="9">
        <f>G1920=B1920</f>
        <v/>
      </c>
    </row>
    <row r="1889">
      <c r="B1889" s="11" t="n"/>
      <c r="C1889" s="8">
        <f>pinyin(B1921)</f>
        <v/>
      </c>
      <c r="E1889" s="8">
        <f>IFERROR(__xludf.DUMMYFUNCTION("GOOGLETRANSLATE(B1921, ""zh"", ""vi"")"),"#VALUE!")</f>
        <v/>
      </c>
      <c r="H1889" s="9">
        <f>G1921=B1921</f>
        <v/>
      </c>
    </row>
    <row r="1890">
      <c r="B1890" s="11" t="n"/>
      <c r="C1890" s="8">
        <f>pinyin(B1922)</f>
        <v/>
      </c>
      <c r="E1890" s="8">
        <f>IFERROR(__xludf.DUMMYFUNCTION("GOOGLETRANSLATE(B1922, ""zh"", ""vi"")"),"#VALUE!")</f>
        <v/>
      </c>
      <c r="H1890" s="9">
        <f>G1922=B1922</f>
        <v/>
      </c>
    </row>
    <row r="1891">
      <c r="B1891" s="11" t="n"/>
      <c r="C1891" s="8">
        <f>pinyin(B1923)</f>
        <v/>
      </c>
      <c r="E1891" s="8">
        <f>IFERROR(__xludf.DUMMYFUNCTION("GOOGLETRANSLATE(B1923, ""zh"", ""vi"")"),"#VALUE!")</f>
        <v/>
      </c>
      <c r="H1891" s="9">
        <f>G1923=B1923</f>
        <v/>
      </c>
    </row>
    <row r="1892">
      <c r="B1892" s="11" t="n"/>
      <c r="C1892" s="8">
        <f>pinyin(B1924)</f>
        <v/>
      </c>
      <c r="E1892" s="8">
        <f>IFERROR(__xludf.DUMMYFUNCTION("GOOGLETRANSLATE(B1924, ""zh"", ""vi"")"),"#VALUE!")</f>
        <v/>
      </c>
      <c r="H1892" s="9">
        <f>G1924=B1924</f>
        <v/>
      </c>
    </row>
    <row r="1893">
      <c r="B1893" s="11" t="n"/>
      <c r="C1893" s="8">
        <f>pinyin(B1925)</f>
        <v/>
      </c>
      <c r="E1893" s="8">
        <f>IFERROR(__xludf.DUMMYFUNCTION("GOOGLETRANSLATE(B1925, ""zh"", ""vi"")"),"#VALUE!")</f>
        <v/>
      </c>
      <c r="H1893" s="9">
        <f>G1925=B1925</f>
        <v/>
      </c>
    </row>
    <row r="1894">
      <c r="B1894" s="11" t="n"/>
      <c r="C1894" s="8">
        <f>pinyin(B1926)</f>
        <v/>
      </c>
      <c r="E1894" s="8">
        <f>IFERROR(__xludf.DUMMYFUNCTION("GOOGLETRANSLATE(B1926, ""zh"", ""vi"")"),"#VALUE!")</f>
        <v/>
      </c>
      <c r="H1894" s="9">
        <f>G1926=B1926</f>
        <v/>
      </c>
    </row>
    <row r="1895">
      <c r="B1895" s="11" t="n"/>
      <c r="C1895" s="8">
        <f>pinyin(B1927)</f>
        <v/>
      </c>
      <c r="E1895" s="8">
        <f>IFERROR(__xludf.DUMMYFUNCTION("GOOGLETRANSLATE(B1927, ""zh"", ""vi"")"),"#VALUE!")</f>
        <v/>
      </c>
      <c r="H1895" s="9">
        <f>G1927=B1927</f>
        <v/>
      </c>
    </row>
    <row r="1896">
      <c r="B1896" s="11" t="n"/>
      <c r="C1896" s="8">
        <f>pinyin(B1928)</f>
        <v/>
      </c>
      <c r="E1896" s="8">
        <f>IFERROR(__xludf.DUMMYFUNCTION("GOOGLETRANSLATE(B1928, ""zh"", ""vi"")"),"#VALUE!")</f>
        <v/>
      </c>
      <c r="H1896" s="9">
        <f>G1928=B1928</f>
        <v/>
      </c>
    </row>
    <row r="1897">
      <c r="B1897" s="11" t="n"/>
      <c r="C1897" s="8">
        <f>pinyin(B1929)</f>
        <v/>
      </c>
      <c r="E1897" s="8">
        <f>IFERROR(__xludf.DUMMYFUNCTION("GOOGLETRANSLATE(B1929, ""zh"", ""vi"")"),"#VALUE!")</f>
        <v/>
      </c>
      <c r="H1897" s="9">
        <f>G1929=B1929</f>
        <v/>
      </c>
    </row>
    <row r="1898">
      <c r="B1898" s="11" t="n"/>
      <c r="C1898" s="8">
        <f>pinyin(B1930)</f>
        <v/>
      </c>
      <c r="E1898" s="8">
        <f>IFERROR(__xludf.DUMMYFUNCTION("GOOGLETRANSLATE(B1930, ""zh"", ""vi"")"),"#VALUE!")</f>
        <v/>
      </c>
      <c r="H1898" s="9">
        <f>G1930=B1930</f>
        <v/>
      </c>
    </row>
    <row r="1899">
      <c r="B1899" s="11" t="n"/>
      <c r="C1899" s="8">
        <f>pinyin(B1931)</f>
        <v/>
      </c>
      <c r="E1899" s="8">
        <f>IFERROR(__xludf.DUMMYFUNCTION("GOOGLETRANSLATE(B1931, ""zh"", ""vi"")"),"#VALUE!")</f>
        <v/>
      </c>
      <c r="H1899" s="9">
        <f>G1931=B1931</f>
        <v/>
      </c>
    </row>
    <row r="1900">
      <c r="B1900" s="11" t="n"/>
      <c r="C1900" s="8">
        <f>pinyin(B1932)</f>
        <v/>
      </c>
      <c r="E1900" s="8">
        <f>IFERROR(__xludf.DUMMYFUNCTION("GOOGLETRANSLATE(B1932, ""zh"", ""vi"")"),"#VALUE!")</f>
        <v/>
      </c>
      <c r="H1900" s="9">
        <f>G1932=B1932</f>
        <v/>
      </c>
    </row>
    <row r="1901">
      <c r="B1901" s="11" t="n"/>
      <c r="C1901" s="8">
        <f>pinyin(B1933)</f>
        <v/>
      </c>
      <c r="E1901" s="8">
        <f>IFERROR(__xludf.DUMMYFUNCTION("GOOGLETRANSLATE(B1933, ""zh"", ""vi"")"),"#VALUE!")</f>
        <v/>
      </c>
      <c r="H1901" s="9">
        <f>G1933=B1933</f>
        <v/>
      </c>
    </row>
    <row r="1902">
      <c r="B1902" s="11" t="n"/>
      <c r="C1902" s="8">
        <f>pinyin(B1934)</f>
        <v/>
      </c>
      <c r="E1902" s="8">
        <f>IFERROR(__xludf.DUMMYFUNCTION("GOOGLETRANSLATE(B1934, ""zh"", ""vi"")"),"#VALUE!")</f>
        <v/>
      </c>
      <c r="H1902" s="9">
        <f>G1934=B1934</f>
        <v/>
      </c>
    </row>
    <row r="1903">
      <c r="B1903" s="11" t="n"/>
      <c r="C1903" s="8">
        <f>pinyin(B1935)</f>
        <v/>
      </c>
      <c r="E1903" s="8">
        <f>IFERROR(__xludf.DUMMYFUNCTION("GOOGLETRANSLATE(B1935, ""zh"", ""vi"")"),"#VALUE!")</f>
        <v/>
      </c>
      <c r="H1903" s="9">
        <f>G1935=B1935</f>
        <v/>
      </c>
    </row>
    <row r="1904">
      <c r="B1904" s="11" t="n"/>
      <c r="C1904" s="8">
        <f>pinyin(B1936)</f>
        <v/>
      </c>
      <c r="E1904" s="8">
        <f>IFERROR(__xludf.DUMMYFUNCTION("GOOGLETRANSLATE(B1936, ""zh"", ""vi"")"),"#VALUE!")</f>
        <v/>
      </c>
      <c r="H1904" s="9">
        <f>G1936=B1936</f>
        <v/>
      </c>
    </row>
    <row r="1905">
      <c r="B1905" s="11" t="n"/>
      <c r="C1905" s="8">
        <f>pinyin(B1937)</f>
        <v/>
      </c>
      <c r="E1905" s="8">
        <f>IFERROR(__xludf.DUMMYFUNCTION("GOOGLETRANSLATE(B1937, ""zh"", ""vi"")"),"#VALUE!")</f>
        <v/>
      </c>
      <c r="H1905" s="9">
        <f>G1937=B1937</f>
        <v/>
      </c>
    </row>
    <row r="1906">
      <c r="B1906" s="11" t="n"/>
      <c r="C1906" s="8">
        <f>pinyin(B1938)</f>
        <v/>
      </c>
      <c r="E1906" s="8">
        <f>IFERROR(__xludf.DUMMYFUNCTION("GOOGLETRANSLATE(B1938, ""zh"", ""vi"")"),"#VALUE!")</f>
        <v/>
      </c>
      <c r="H1906" s="9">
        <f>G1938=B1938</f>
        <v/>
      </c>
    </row>
    <row r="1907">
      <c r="B1907" s="11" t="n"/>
      <c r="C1907" s="8">
        <f>pinyin(B1939)</f>
        <v/>
      </c>
      <c r="E1907" s="8">
        <f>IFERROR(__xludf.DUMMYFUNCTION("GOOGLETRANSLATE(B1939, ""zh"", ""vi"")"),"#VALUE!")</f>
        <v/>
      </c>
      <c r="H1907" s="9">
        <f>G1939=B1939</f>
        <v/>
      </c>
    </row>
    <row r="1908">
      <c r="B1908" s="11" t="n"/>
      <c r="C1908" s="8">
        <f>pinyin(B1940)</f>
        <v/>
      </c>
      <c r="E1908" s="8">
        <f>IFERROR(__xludf.DUMMYFUNCTION("GOOGLETRANSLATE(B1940, ""zh"", ""vi"")"),"#VALUE!")</f>
        <v/>
      </c>
      <c r="H1908" s="9">
        <f>G1940=B1940</f>
        <v/>
      </c>
    </row>
    <row r="1909">
      <c r="B1909" s="11" t="n"/>
      <c r="C1909" s="8">
        <f>pinyin(B1941)</f>
        <v/>
      </c>
      <c r="E1909" s="8">
        <f>IFERROR(__xludf.DUMMYFUNCTION("GOOGLETRANSLATE(B1941, ""zh"", ""vi"")"),"#VALUE!")</f>
        <v/>
      </c>
      <c r="H1909" s="9">
        <f>G1941=B1941</f>
        <v/>
      </c>
    </row>
    <row r="1910">
      <c r="B1910" s="11" t="n"/>
      <c r="C1910" s="8">
        <f>pinyin(B1942)</f>
        <v/>
      </c>
      <c r="E1910" s="8">
        <f>IFERROR(__xludf.DUMMYFUNCTION("GOOGLETRANSLATE(B1942, ""zh"", ""vi"")"),"#VALUE!")</f>
        <v/>
      </c>
      <c r="H1910" s="9">
        <f>G1942=B1942</f>
        <v/>
      </c>
    </row>
    <row r="1911">
      <c r="B1911" s="11" t="n"/>
      <c r="C1911" s="8">
        <f>pinyin(B1943)</f>
        <v/>
      </c>
      <c r="E1911" s="8">
        <f>IFERROR(__xludf.DUMMYFUNCTION("GOOGLETRANSLATE(B1943, ""zh"", ""vi"")"),"#VALUE!")</f>
        <v/>
      </c>
      <c r="H1911" s="9">
        <f>G1943=B1943</f>
        <v/>
      </c>
    </row>
    <row r="1912">
      <c r="B1912" s="11" t="n"/>
      <c r="C1912" s="8">
        <f>pinyin(B1944)</f>
        <v/>
      </c>
      <c r="E1912" s="8">
        <f>IFERROR(__xludf.DUMMYFUNCTION("GOOGLETRANSLATE(B1944, ""zh"", ""vi"")"),"#VALUE!")</f>
        <v/>
      </c>
      <c r="H1912" s="9">
        <f>G1944=B1944</f>
        <v/>
      </c>
    </row>
    <row r="1913">
      <c r="B1913" s="11" t="n"/>
      <c r="C1913" s="8">
        <f>pinyin(B1945)</f>
        <v/>
      </c>
      <c r="E1913" s="8">
        <f>IFERROR(__xludf.DUMMYFUNCTION("GOOGLETRANSLATE(B1945, ""zh"", ""vi"")"),"#VALUE!")</f>
        <v/>
      </c>
      <c r="H1913" s="9">
        <f>G1945=B1945</f>
        <v/>
      </c>
    </row>
    <row r="1914">
      <c r="B1914" s="11" t="n"/>
      <c r="C1914" s="8">
        <f>pinyin(B1946)</f>
        <v/>
      </c>
      <c r="E1914" s="8">
        <f>IFERROR(__xludf.DUMMYFUNCTION("GOOGLETRANSLATE(B1946, ""zh"", ""vi"")"),"#VALUE!")</f>
        <v/>
      </c>
      <c r="H1914" s="9">
        <f>G1946=B1946</f>
        <v/>
      </c>
    </row>
    <row r="1915">
      <c r="B1915" s="11" t="n"/>
      <c r="C1915" s="8">
        <f>pinyin(B1947)</f>
        <v/>
      </c>
      <c r="E1915" s="8">
        <f>IFERROR(__xludf.DUMMYFUNCTION("GOOGLETRANSLATE(B1947, ""zh"", ""vi"")"),"#VALUE!")</f>
        <v/>
      </c>
      <c r="H1915" s="9">
        <f>G1947=B1947</f>
        <v/>
      </c>
    </row>
    <row r="1916">
      <c r="B1916" s="11" t="n"/>
      <c r="C1916" s="8">
        <f>pinyin(B1948)</f>
        <v/>
      </c>
      <c r="E1916" s="8">
        <f>IFERROR(__xludf.DUMMYFUNCTION("GOOGLETRANSLATE(B1948, ""zh"", ""vi"")"),"#VALUE!")</f>
        <v/>
      </c>
      <c r="H1916" s="9">
        <f>G1948=B1948</f>
        <v/>
      </c>
    </row>
    <row r="1917">
      <c r="B1917" s="11" t="n"/>
      <c r="C1917" s="8">
        <f>pinyin(B1949)</f>
        <v/>
      </c>
      <c r="E1917" s="8">
        <f>IFERROR(__xludf.DUMMYFUNCTION("GOOGLETRANSLATE(B1949, ""zh"", ""vi"")"),"#VALUE!")</f>
        <v/>
      </c>
      <c r="H1917" s="9">
        <f>G1949=B1949</f>
        <v/>
      </c>
    </row>
    <row r="1918">
      <c r="B1918" s="11" t="n"/>
      <c r="C1918" s="8">
        <f>pinyin(B1950)</f>
        <v/>
      </c>
      <c r="E1918" s="8">
        <f>IFERROR(__xludf.DUMMYFUNCTION("GOOGLETRANSLATE(B1950, ""zh"", ""vi"")"),"#VALUE!")</f>
        <v/>
      </c>
      <c r="H1918" s="9">
        <f>G1950=B1950</f>
        <v/>
      </c>
    </row>
    <row r="1919">
      <c r="B1919" s="11" t="n"/>
      <c r="C1919" s="8">
        <f>pinyin(B1951)</f>
        <v/>
      </c>
      <c r="E1919" s="8">
        <f>IFERROR(__xludf.DUMMYFUNCTION("GOOGLETRANSLATE(B1951, ""zh"", ""vi"")"),"#VALUE!")</f>
        <v/>
      </c>
      <c r="H1919" s="9">
        <f>G1951=B1951</f>
        <v/>
      </c>
    </row>
    <row r="1920">
      <c r="B1920" s="11" t="n"/>
      <c r="C1920" s="8">
        <f>pinyin(B1952)</f>
        <v/>
      </c>
      <c r="E1920" s="8">
        <f>IFERROR(__xludf.DUMMYFUNCTION("GOOGLETRANSLATE(B1952, ""zh"", ""vi"")"),"#VALUE!")</f>
        <v/>
      </c>
      <c r="H1920" s="9">
        <f>G1952=B1952</f>
        <v/>
      </c>
    </row>
    <row r="1921">
      <c r="B1921" s="11" t="n"/>
      <c r="C1921" s="8">
        <f>pinyin(B1953)</f>
        <v/>
      </c>
      <c r="E1921" s="8">
        <f>IFERROR(__xludf.DUMMYFUNCTION("GOOGLETRANSLATE(B1953, ""zh"", ""vi"")"),"#VALUE!")</f>
        <v/>
      </c>
      <c r="H1921" s="9">
        <f>G1953=B1953</f>
        <v/>
      </c>
    </row>
    <row r="1922">
      <c r="B1922" s="11" t="n"/>
      <c r="C1922" s="8">
        <f>pinyin(B1954)</f>
        <v/>
      </c>
      <c r="E1922" s="8">
        <f>IFERROR(__xludf.DUMMYFUNCTION("GOOGLETRANSLATE(B1954, ""zh"", ""vi"")"),"#VALUE!")</f>
        <v/>
      </c>
      <c r="H1922" s="9">
        <f>G1954=B1954</f>
        <v/>
      </c>
    </row>
    <row r="1923">
      <c r="B1923" s="11" t="n"/>
      <c r="C1923" s="8">
        <f>pinyin(B1955)</f>
        <v/>
      </c>
      <c r="E1923" s="8">
        <f>IFERROR(__xludf.DUMMYFUNCTION("GOOGLETRANSLATE(B1955, ""zh"", ""vi"")"),"#VALUE!")</f>
        <v/>
      </c>
      <c r="H1923" s="9">
        <f>G1955=B1955</f>
        <v/>
      </c>
    </row>
    <row r="1924">
      <c r="B1924" s="11" t="n"/>
      <c r="C1924" s="8">
        <f>pinyin(B1956)</f>
        <v/>
      </c>
      <c r="E1924" s="8">
        <f>IFERROR(__xludf.DUMMYFUNCTION("GOOGLETRANSLATE(B1956, ""zh"", ""vi"")"),"#VALUE!")</f>
        <v/>
      </c>
      <c r="H1924" s="9">
        <f>G1956=B1956</f>
        <v/>
      </c>
    </row>
    <row r="1925">
      <c r="B1925" s="11" t="n"/>
      <c r="C1925" s="8">
        <f>pinyin(B1957)</f>
        <v/>
      </c>
      <c r="E1925" s="8">
        <f>IFERROR(__xludf.DUMMYFUNCTION("GOOGLETRANSLATE(B1957, ""zh"", ""vi"")"),"#VALUE!")</f>
        <v/>
      </c>
      <c r="H1925" s="9">
        <f>G1957=B1957</f>
        <v/>
      </c>
    </row>
    <row r="1926">
      <c r="B1926" s="11" t="n"/>
      <c r="C1926" s="8">
        <f>pinyin(B1958)</f>
        <v/>
      </c>
      <c r="E1926" s="8">
        <f>IFERROR(__xludf.DUMMYFUNCTION("GOOGLETRANSLATE(B1958, ""zh"", ""vi"")"),"#VALUE!")</f>
        <v/>
      </c>
      <c r="H1926" s="9">
        <f>G1958=B1958</f>
        <v/>
      </c>
    </row>
    <row r="1927">
      <c r="B1927" s="11" t="n"/>
      <c r="C1927" s="8">
        <f>pinyin(B1959)</f>
        <v/>
      </c>
      <c r="E1927" s="8">
        <f>IFERROR(__xludf.DUMMYFUNCTION("GOOGLETRANSLATE(B1959, ""zh"", ""vi"")"),"#VALUE!")</f>
        <v/>
      </c>
      <c r="H1927" s="9">
        <f>G1959=B1959</f>
        <v/>
      </c>
    </row>
    <row r="1928">
      <c r="B1928" s="11" t="n"/>
      <c r="C1928" s="8">
        <f>pinyin(B1960)</f>
        <v/>
      </c>
      <c r="E1928" s="8">
        <f>IFERROR(__xludf.DUMMYFUNCTION("GOOGLETRANSLATE(B1960, ""zh"", ""vi"")"),"#VALUE!")</f>
        <v/>
      </c>
      <c r="H1928" s="9">
        <f>G1960=B1960</f>
        <v/>
      </c>
    </row>
    <row r="1929">
      <c r="B1929" s="11" t="n"/>
      <c r="C1929" s="8">
        <f>pinyin(B1961)</f>
        <v/>
      </c>
      <c r="E1929" s="8">
        <f>IFERROR(__xludf.DUMMYFUNCTION("GOOGLETRANSLATE(B1961, ""zh"", ""vi"")"),"#VALUE!")</f>
        <v/>
      </c>
      <c r="H1929" s="9">
        <f>G1961=B1961</f>
        <v/>
      </c>
    </row>
    <row r="1930">
      <c r="B1930" s="11" t="n"/>
      <c r="C1930" s="8">
        <f>pinyin(B1962)</f>
        <v/>
      </c>
      <c r="E1930" s="8">
        <f>IFERROR(__xludf.DUMMYFUNCTION("GOOGLETRANSLATE(B1962, ""zh"", ""vi"")"),"#VALUE!")</f>
        <v/>
      </c>
      <c r="H1930" s="9">
        <f>G1962=B1962</f>
        <v/>
      </c>
    </row>
    <row r="1931">
      <c r="B1931" s="11" t="n"/>
      <c r="C1931" s="8">
        <f>pinyin(B1963)</f>
        <v/>
      </c>
      <c r="E1931" s="8">
        <f>IFERROR(__xludf.DUMMYFUNCTION("GOOGLETRANSLATE(B1963, ""zh"", ""vi"")"),"#VALUE!")</f>
        <v/>
      </c>
      <c r="H1931" s="9">
        <f>G1963=B1963</f>
        <v/>
      </c>
    </row>
    <row r="1932">
      <c r="B1932" s="11" t="n"/>
      <c r="C1932" s="8">
        <f>pinyin(B1964)</f>
        <v/>
      </c>
      <c r="E1932" s="8">
        <f>IFERROR(__xludf.DUMMYFUNCTION("GOOGLETRANSLATE(B1964, ""zh"", ""vi"")"),"#VALUE!")</f>
        <v/>
      </c>
      <c r="H1932" s="9">
        <f>G1964=B1964</f>
        <v/>
      </c>
    </row>
    <row r="1933">
      <c r="B1933" s="11" t="n"/>
      <c r="C1933" s="8">
        <f>pinyin(B1965)</f>
        <v/>
      </c>
      <c r="E1933" s="8">
        <f>IFERROR(__xludf.DUMMYFUNCTION("GOOGLETRANSLATE(B1965, ""zh"", ""vi"")"),"#VALUE!")</f>
        <v/>
      </c>
      <c r="H1933" s="9">
        <f>G1965=B1965</f>
        <v/>
      </c>
    </row>
    <row r="1934">
      <c r="B1934" s="11" t="n"/>
      <c r="C1934" s="8">
        <f>pinyin(B1966)</f>
        <v/>
      </c>
      <c r="E1934" s="8">
        <f>IFERROR(__xludf.DUMMYFUNCTION("GOOGLETRANSLATE(B1966, ""zh"", ""vi"")"),"#VALUE!")</f>
        <v/>
      </c>
      <c r="H1934" s="9">
        <f>G1966=B1966</f>
        <v/>
      </c>
    </row>
    <row r="1935">
      <c r="B1935" s="11" t="n"/>
      <c r="C1935" s="8">
        <f>pinyin(B1967)</f>
        <v/>
      </c>
      <c r="E1935" s="8">
        <f>IFERROR(__xludf.DUMMYFUNCTION("GOOGLETRANSLATE(B1967, ""zh"", ""vi"")"),"#VALUE!")</f>
        <v/>
      </c>
      <c r="H1935" s="9">
        <f>G1967=B1967</f>
        <v/>
      </c>
    </row>
    <row r="1936">
      <c r="B1936" s="11" t="n"/>
      <c r="C1936" s="8">
        <f>pinyin(B1968)</f>
        <v/>
      </c>
      <c r="E1936" s="8">
        <f>IFERROR(__xludf.DUMMYFUNCTION("GOOGLETRANSLATE(B1968, ""zh"", ""vi"")"),"#VALUE!")</f>
        <v/>
      </c>
      <c r="H1936" s="9">
        <f>G1968=B1968</f>
        <v/>
      </c>
    </row>
    <row r="1937">
      <c r="B1937" s="11" t="n"/>
      <c r="C1937" s="8">
        <f>pinyin(B1969)</f>
        <v/>
      </c>
      <c r="E1937" s="8">
        <f>IFERROR(__xludf.DUMMYFUNCTION("GOOGLETRANSLATE(B1969, ""zh"", ""vi"")"),"#VALUE!")</f>
        <v/>
      </c>
      <c r="H1937" s="9">
        <f>G1969=B1969</f>
        <v/>
      </c>
    </row>
    <row r="1938">
      <c r="B1938" s="11" t="n"/>
      <c r="C1938" s="8">
        <f>pinyin(B1970)</f>
        <v/>
      </c>
      <c r="E1938" s="8">
        <f>IFERROR(__xludf.DUMMYFUNCTION("GOOGLETRANSLATE(B1970, ""zh"", ""vi"")"),"#VALUE!")</f>
        <v/>
      </c>
      <c r="H1938" s="9">
        <f>G1970=B1970</f>
        <v/>
      </c>
    </row>
    <row r="1939">
      <c r="B1939" s="11" t="n"/>
      <c r="C1939" s="8">
        <f>pinyin(B1971)</f>
        <v/>
      </c>
      <c r="E1939" s="8">
        <f>IFERROR(__xludf.DUMMYFUNCTION("GOOGLETRANSLATE(B1971, ""zh"", ""vi"")"),"#VALUE!")</f>
        <v/>
      </c>
      <c r="H1939" s="9">
        <f>G1971=B1971</f>
        <v/>
      </c>
    </row>
    <row r="1940">
      <c r="B1940" s="11" t="n"/>
      <c r="C1940" s="8">
        <f>pinyin(B1972)</f>
        <v/>
      </c>
      <c r="E1940" s="8">
        <f>IFERROR(__xludf.DUMMYFUNCTION("GOOGLETRANSLATE(B1972, ""zh"", ""vi"")"),"#VALUE!")</f>
        <v/>
      </c>
      <c r="H1940" s="9">
        <f>G1972=B1972</f>
        <v/>
      </c>
    </row>
    <row r="1941">
      <c r="B1941" s="11" t="n"/>
      <c r="C1941" s="8">
        <f>pinyin(B1973)</f>
        <v/>
      </c>
      <c r="E1941" s="8">
        <f>IFERROR(__xludf.DUMMYFUNCTION("GOOGLETRANSLATE(B1973, ""zh"", ""vi"")"),"#VALUE!")</f>
        <v/>
      </c>
      <c r="H1941" s="9">
        <f>G1973=B1973</f>
        <v/>
      </c>
    </row>
    <row r="1942">
      <c r="B1942" s="11" t="n"/>
      <c r="C1942" s="8">
        <f>pinyin(B1974)</f>
        <v/>
      </c>
      <c r="E1942" s="8">
        <f>IFERROR(__xludf.DUMMYFUNCTION("GOOGLETRANSLATE(B1974, ""zh"", ""vi"")"),"#VALUE!")</f>
        <v/>
      </c>
      <c r="H1942" s="9">
        <f>G1974=B1974</f>
        <v/>
      </c>
    </row>
    <row r="1943">
      <c r="B1943" s="11" t="n"/>
      <c r="C1943" s="8">
        <f>pinyin(B1975)</f>
        <v/>
      </c>
      <c r="E1943" s="8">
        <f>IFERROR(__xludf.DUMMYFUNCTION("GOOGLETRANSLATE(B1975, ""zh"", ""vi"")"),"#VALUE!")</f>
        <v/>
      </c>
      <c r="H1943" s="9">
        <f>G1975=B1975</f>
        <v/>
      </c>
    </row>
    <row r="1944">
      <c r="B1944" s="11" t="n"/>
      <c r="C1944" s="8">
        <f>pinyin(B1976)</f>
        <v/>
      </c>
      <c r="E1944" s="8">
        <f>IFERROR(__xludf.DUMMYFUNCTION("GOOGLETRANSLATE(B1976, ""zh"", ""vi"")"),"#VALUE!")</f>
        <v/>
      </c>
      <c r="H1944" s="9">
        <f>G1976=B1976</f>
        <v/>
      </c>
    </row>
    <row r="1945">
      <c r="B1945" s="11" t="n"/>
      <c r="C1945" s="8">
        <f>pinyin(B1977)</f>
        <v/>
      </c>
      <c r="E1945" s="8">
        <f>IFERROR(__xludf.DUMMYFUNCTION("GOOGLETRANSLATE(B1977, ""zh"", ""vi"")"),"#VALUE!")</f>
        <v/>
      </c>
      <c r="H1945" s="9">
        <f>G1977=B1977</f>
        <v/>
      </c>
    </row>
    <row r="1946">
      <c r="B1946" s="11" t="n"/>
      <c r="C1946" s="8">
        <f>pinyin(B1978)</f>
        <v/>
      </c>
      <c r="E1946" s="8">
        <f>IFERROR(__xludf.DUMMYFUNCTION("GOOGLETRANSLATE(B1978, ""zh"", ""vi"")"),"#VALUE!")</f>
        <v/>
      </c>
      <c r="H1946" s="9">
        <f>G1978=B1978</f>
        <v/>
      </c>
    </row>
    <row r="1947">
      <c r="B1947" s="11" t="n"/>
      <c r="C1947" s="8">
        <f>pinyin(B1979)</f>
        <v/>
      </c>
      <c r="E1947" s="8">
        <f>IFERROR(__xludf.DUMMYFUNCTION("GOOGLETRANSLATE(B1979, ""zh"", ""vi"")"),"#VALUE!")</f>
        <v/>
      </c>
      <c r="H1947" s="9">
        <f>G1979=B1979</f>
        <v/>
      </c>
    </row>
    <row r="1948">
      <c r="B1948" s="11" t="n"/>
      <c r="C1948" s="8">
        <f>pinyin(B1980)</f>
        <v/>
      </c>
      <c r="E1948" s="8">
        <f>IFERROR(__xludf.DUMMYFUNCTION("GOOGLETRANSLATE(B1980, ""zh"", ""vi"")"),"#VALUE!")</f>
        <v/>
      </c>
      <c r="H1948" s="9">
        <f>G1980=B1980</f>
        <v/>
      </c>
    </row>
    <row r="1949">
      <c r="B1949" s="11" t="n"/>
      <c r="C1949" s="8">
        <f>pinyin(B1981)</f>
        <v/>
      </c>
      <c r="E1949" s="8">
        <f>IFERROR(__xludf.DUMMYFUNCTION("GOOGLETRANSLATE(B1981, ""zh"", ""vi"")"),"#VALUE!")</f>
        <v/>
      </c>
      <c r="H1949" s="9">
        <f>G1981=B1981</f>
        <v/>
      </c>
    </row>
    <row r="1950">
      <c r="B1950" s="11" t="n"/>
      <c r="C1950" s="8">
        <f>pinyin(B1982)</f>
        <v/>
      </c>
      <c r="E1950" s="8">
        <f>IFERROR(__xludf.DUMMYFUNCTION("GOOGLETRANSLATE(B1982, ""zh"", ""vi"")"),"#VALUE!")</f>
        <v/>
      </c>
      <c r="H1950" s="9">
        <f>G1982=B1982</f>
        <v/>
      </c>
    </row>
    <row r="1951">
      <c r="B1951" s="11" t="n"/>
      <c r="C1951" s="8">
        <f>pinyin(B1983)</f>
        <v/>
      </c>
      <c r="E1951" s="8">
        <f>IFERROR(__xludf.DUMMYFUNCTION("GOOGLETRANSLATE(B1983, ""zh"", ""vi"")"),"#VALUE!")</f>
        <v/>
      </c>
      <c r="H1951" s="9">
        <f>G1983=B1983</f>
        <v/>
      </c>
    </row>
    <row r="1952">
      <c r="B1952" s="11" t="n"/>
      <c r="C1952" s="8">
        <f>pinyin(B1984)</f>
        <v/>
      </c>
      <c r="E1952" s="8">
        <f>IFERROR(__xludf.DUMMYFUNCTION("GOOGLETRANSLATE(B1984, ""zh"", ""vi"")"),"#VALUE!")</f>
        <v/>
      </c>
      <c r="H1952" s="9">
        <f>G1984=B1984</f>
        <v/>
      </c>
    </row>
    <row r="1953">
      <c r="B1953" s="11" t="n"/>
      <c r="C1953" s="8">
        <f>pinyin(B1985)</f>
        <v/>
      </c>
      <c r="E1953" s="8">
        <f>IFERROR(__xludf.DUMMYFUNCTION("GOOGLETRANSLATE(B1985, ""zh"", ""vi"")"),"#VALUE!")</f>
        <v/>
      </c>
      <c r="H1953" s="9">
        <f>G1985=B1985</f>
        <v/>
      </c>
    </row>
    <row r="1954">
      <c r="B1954" s="11" t="n"/>
      <c r="C1954" s="8">
        <f>pinyin(B1986)</f>
        <v/>
      </c>
      <c r="E1954" s="8">
        <f>IFERROR(__xludf.DUMMYFUNCTION("GOOGLETRANSLATE(B1986, ""zh"", ""vi"")"),"#VALUE!")</f>
        <v/>
      </c>
      <c r="H1954" s="9">
        <f>G1986=B1986</f>
        <v/>
      </c>
    </row>
    <row r="1955">
      <c r="B1955" s="11" t="n"/>
      <c r="C1955" s="8">
        <f>pinyin(B1987)</f>
        <v/>
      </c>
      <c r="E1955" s="8">
        <f>IFERROR(__xludf.DUMMYFUNCTION("GOOGLETRANSLATE(B1987, ""zh"", ""vi"")"),"#VALUE!")</f>
        <v/>
      </c>
      <c r="H1955" s="9">
        <f>G1987=B1987</f>
        <v/>
      </c>
    </row>
    <row r="1956">
      <c r="B1956" s="11" t="n"/>
      <c r="C1956" s="8">
        <f>pinyin(B1988)</f>
        <v/>
      </c>
      <c r="E1956" s="8">
        <f>IFERROR(__xludf.DUMMYFUNCTION("GOOGLETRANSLATE(B1988, ""zh"", ""vi"")"),"#VALUE!")</f>
        <v/>
      </c>
      <c r="H1956" s="9">
        <f>G1988=B1988</f>
        <v/>
      </c>
    </row>
    <row r="1957">
      <c r="B1957" s="11" t="n"/>
      <c r="C1957" s="8">
        <f>pinyin(B1989)</f>
        <v/>
      </c>
      <c r="E1957" s="8">
        <f>IFERROR(__xludf.DUMMYFUNCTION("GOOGLETRANSLATE(B1989, ""zh"", ""vi"")"),"#VALUE!")</f>
        <v/>
      </c>
      <c r="H1957" s="9">
        <f>G1989=B1989</f>
        <v/>
      </c>
    </row>
    <row r="1958">
      <c r="B1958" s="11" t="n"/>
      <c r="C1958" s="8">
        <f>pinyin(B1990)</f>
        <v/>
      </c>
      <c r="E1958" s="8">
        <f>IFERROR(__xludf.DUMMYFUNCTION("GOOGLETRANSLATE(B1990, ""zh"", ""vi"")"),"#VALUE!")</f>
        <v/>
      </c>
      <c r="H1958" s="9">
        <f>G1990=B1990</f>
        <v/>
      </c>
    </row>
    <row r="1959">
      <c r="B1959" s="11" t="n"/>
      <c r="C1959" s="8">
        <f>pinyin(B1991)</f>
        <v/>
      </c>
      <c r="E1959" s="8">
        <f>IFERROR(__xludf.DUMMYFUNCTION("GOOGLETRANSLATE(B1991, ""zh"", ""vi"")"),"#VALUE!")</f>
        <v/>
      </c>
      <c r="H1959" s="9">
        <f>G1991=B1991</f>
        <v/>
      </c>
    </row>
    <row r="1960">
      <c r="B1960" s="11" t="n"/>
      <c r="C1960" s="8">
        <f>pinyin(B1992)</f>
        <v/>
      </c>
      <c r="E1960" s="8">
        <f>IFERROR(__xludf.DUMMYFUNCTION("GOOGLETRANSLATE(B1992, ""zh"", ""vi"")"),"#VALUE!")</f>
        <v/>
      </c>
      <c r="H1960" s="9">
        <f>G1992=B1992</f>
        <v/>
      </c>
    </row>
    <row r="1961">
      <c r="B1961" s="11" t="n"/>
      <c r="C1961" s="8">
        <f>pinyin(B1993)</f>
        <v/>
      </c>
      <c r="E1961" s="8">
        <f>IFERROR(__xludf.DUMMYFUNCTION("GOOGLETRANSLATE(B1993, ""zh"", ""vi"")"),"#VALUE!")</f>
        <v/>
      </c>
      <c r="H1961" s="9">
        <f>G1993=B1993</f>
        <v/>
      </c>
    </row>
    <row r="1962">
      <c r="B1962" s="11" t="n"/>
      <c r="C1962" s="8">
        <f>pinyin(B1994)</f>
        <v/>
      </c>
      <c r="E1962" s="8">
        <f>IFERROR(__xludf.DUMMYFUNCTION("GOOGLETRANSLATE(B1994, ""zh"", ""vi"")"),"#VALUE!")</f>
        <v/>
      </c>
      <c r="H1962" s="9">
        <f>G1994=B1994</f>
        <v/>
      </c>
    </row>
    <row r="1963">
      <c r="B1963" s="11" t="n"/>
      <c r="C1963" s="8">
        <f>pinyin(B1995)</f>
        <v/>
      </c>
      <c r="E1963" s="8">
        <f>IFERROR(__xludf.DUMMYFUNCTION("GOOGLETRANSLATE(B1995, ""zh"", ""vi"")"),"#VALUE!")</f>
        <v/>
      </c>
      <c r="H1963" s="9">
        <f>G1995=B1995</f>
        <v/>
      </c>
    </row>
    <row r="1964">
      <c r="B1964" s="11" t="n"/>
      <c r="C1964" s="8">
        <f>pinyin(B1996)</f>
        <v/>
      </c>
      <c r="E1964" s="8">
        <f>IFERROR(__xludf.DUMMYFUNCTION("GOOGLETRANSLATE(B1996, ""zh"", ""vi"")"),"#VALUE!")</f>
        <v/>
      </c>
      <c r="H1964" s="9">
        <f>G1996=B1996</f>
        <v/>
      </c>
    </row>
    <row r="1965">
      <c r="B1965" s="11" t="n"/>
      <c r="C1965" s="8">
        <f>pinyin(B1997)</f>
        <v/>
      </c>
      <c r="E1965" s="8">
        <f>IFERROR(__xludf.DUMMYFUNCTION("GOOGLETRANSLATE(B1997, ""zh"", ""vi"")"),"#VALUE!")</f>
        <v/>
      </c>
      <c r="H1965" s="9">
        <f>G1997=B1997</f>
        <v/>
      </c>
    </row>
    <row r="1966">
      <c r="B1966" s="11" t="n"/>
      <c r="C1966" s="8">
        <f>pinyin(B1998)</f>
        <v/>
      </c>
      <c r="E1966" s="8">
        <f>IFERROR(__xludf.DUMMYFUNCTION("GOOGLETRANSLATE(B1998, ""zh"", ""vi"")"),"#VALUE!")</f>
        <v/>
      </c>
      <c r="H1966" s="9">
        <f>G1998=B1998</f>
        <v/>
      </c>
    </row>
    <row r="1967">
      <c r="B1967" s="11" t="n"/>
      <c r="C1967" s="8">
        <f>pinyin(B1999)</f>
        <v/>
      </c>
      <c r="E1967" s="8">
        <f>IFERROR(__xludf.DUMMYFUNCTION("GOOGLETRANSLATE(B1999, ""zh"", ""vi"")"),"#VALUE!")</f>
        <v/>
      </c>
      <c r="H1967" s="9">
        <f>G1999=B1999</f>
        <v/>
      </c>
    </row>
    <row r="1968">
      <c r="B1968" s="11" t="n"/>
      <c r="C1968" s="8">
        <f>pinyin(B2000)</f>
        <v/>
      </c>
      <c r="E1968" s="8">
        <f>IFERROR(__xludf.DUMMYFUNCTION("GOOGLETRANSLATE(B2000, ""zh"", ""vi"")"),"#VALUE!")</f>
        <v/>
      </c>
      <c r="H1968" s="9">
        <f>G2000=B2000</f>
        <v/>
      </c>
    </row>
    <row r="1969">
      <c r="B1969" s="11" t="n"/>
      <c r="C1969" s="8">
        <f>pinyin(B2001)</f>
        <v/>
      </c>
      <c r="E1969" s="8">
        <f>IFERROR(__xludf.DUMMYFUNCTION("GOOGLETRANSLATE(B2001, ""zh"", ""vi"")"),"#VALUE!")</f>
        <v/>
      </c>
      <c r="H1969" s="9">
        <f>G2001=B2001</f>
        <v/>
      </c>
    </row>
    <row r="1970">
      <c r="B1970" s="11" t="n"/>
      <c r="C1970" s="8">
        <f>pinyin(B2002)</f>
        <v/>
      </c>
      <c r="E1970" s="8">
        <f>IFERROR(__xludf.DUMMYFUNCTION("GOOGLETRANSLATE(B2002, ""zh"", ""vi"")"),"#VALUE!")</f>
        <v/>
      </c>
      <c r="H1970" s="9">
        <f>G2002=B2002</f>
        <v/>
      </c>
    </row>
    <row r="1971">
      <c r="B1971" s="11" t="n"/>
      <c r="C1971" s="8">
        <f>pinyin(B2003)</f>
        <v/>
      </c>
      <c r="E1971" s="8">
        <f>IFERROR(__xludf.DUMMYFUNCTION("GOOGLETRANSLATE(B2003, ""zh"", ""vi"")"),"#VALUE!")</f>
        <v/>
      </c>
      <c r="H1971" s="9">
        <f>G2003=B2003</f>
        <v/>
      </c>
    </row>
    <row r="1972">
      <c r="B1972" s="11" t="n"/>
      <c r="C1972" s="8">
        <f>pinyin(B2004)</f>
        <v/>
      </c>
      <c r="E1972" s="8">
        <f>IFERROR(__xludf.DUMMYFUNCTION("GOOGLETRANSLATE(B2004, ""zh"", ""vi"")"),"#VALUE!")</f>
        <v/>
      </c>
      <c r="H1972" s="9">
        <f>G2004=B2004</f>
        <v/>
      </c>
    </row>
    <row r="1973">
      <c r="B1973" s="11" t="n"/>
      <c r="C1973" s="8">
        <f>pinyin(B2005)</f>
        <v/>
      </c>
      <c r="E1973" s="8">
        <f>IFERROR(__xludf.DUMMYFUNCTION("GOOGLETRANSLATE(B2005, ""zh"", ""vi"")"),"#VALUE!")</f>
        <v/>
      </c>
      <c r="H1973" s="9">
        <f>G2005=B2005</f>
        <v/>
      </c>
    </row>
    <row r="1974">
      <c r="B1974" s="11" t="n"/>
      <c r="C1974" s="8">
        <f>pinyin(B2006)</f>
        <v/>
      </c>
      <c r="E1974" s="8">
        <f>IFERROR(__xludf.DUMMYFUNCTION("GOOGLETRANSLATE(B2006, ""zh"", ""vi"")"),"#VALUE!")</f>
        <v/>
      </c>
      <c r="H1974" s="9">
        <f>G2006=B2006</f>
        <v/>
      </c>
    </row>
    <row r="1975">
      <c r="B1975" s="11" t="n"/>
      <c r="C1975" s="8">
        <f>pinyin(B2007)</f>
        <v/>
      </c>
      <c r="E1975" s="8">
        <f>IFERROR(__xludf.DUMMYFUNCTION("GOOGLETRANSLATE(B2007, ""zh"", ""vi"")"),"#VALUE!")</f>
        <v/>
      </c>
      <c r="H1975" s="9">
        <f>G2007=B2007</f>
        <v/>
      </c>
    </row>
    <row r="1976">
      <c r="B1976" s="11" t="n"/>
      <c r="C1976" s="8">
        <f>pinyin(B2008)</f>
        <v/>
      </c>
      <c r="E1976" s="8">
        <f>IFERROR(__xludf.DUMMYFUNCTION("GOOGLETRANSLATE(B2008, ""zh"", ""vi"")"),"#VALUE!")</f>
        <v/>
      </c>
      <c r="H1976" s="9">
        <f>G2008=B2008</f>
        <v/>
      </c>
    </row>
    <row r="1977">
      <c r="B1977" s="11" t="n"/>
      <c r="C1977" s="8">
        <f>pinyin(B2009)</f>
        <v/>
      </c>
      <c r="E1977" s="8">
        <f>IFERROR(__xludf.DUMMYFUNCTION("GOOGLETRANSLATE(B2009, ""zh"", ""vi"")"),"#VALUE!")</f>
        <v/>
      </c>
      <c r="H1977" s="9">
        <f>G2009=B2009</f>
        <v/>
      </c>
    </row>
    <row r="1978">
      <c r="B1978" s="11" t="n"/>
      <c r="C1978" s="8">
        <f>pinyin(B2010)</f>
        <v/>
      </c>
      <c r="E1978" s="8">
        <f>IFERROR(__xludf.DUMMYFUNCTION("GOOGLETRANSLATE(B2010, ""zh"", ""vi"")"),"#VALUE!")</f>
        <v/>
      </c>
      <c r="H1978" s="9">
        <f>G2010=B2010</f>
        <v/>
      </c>
    </row>
    <row r="1979">
      <c r="B1979" s="11" t="n"/>
      <c r="C1979" s="8">
        <f>pinyin(B2011)</f>
        <v/>
      </c>
      <c r="E1979" s="8">
        <f>IFERROR(__xludf.DUMMYFUNCTION("GOOGLETRANSLATE(B2011, ""zh"", ""vi"")"),"#VALUE!")</f>
        <v/>
      </c>
      <c r="H1979" s="9">
        <f>G2011=B2011</f>
        <v/>
      </c>
    </row>
    <row r="1980">
      <c r="B1980" s="11" t="n"/>
      <c r="C1980" s="8">
        <f>pinyin(B2012)</f>
        <v/>
      </c>
      <c r="E1980" s="8">
        <f>IFERROR(__xludf.DUMMYFUNCTION("GOOGLETRANSLATE(B2012, ""zh"", ""vi"")"),"#VALUE!")</f>
        <v/>
      </c>
      <c r="H1980" s="9">
        <f>G2012=B2012</f>
        <v/>
      </c>
    </row>
    <row r="1981">
      <c r="B1981" s="11" t="n"/>
      <c r="C1981" s="8">
        <f>pinyin(B2013)</f>
        <v/>
      </c>
      <c r="E1981" s="8">
        <f>IFERROR(__xludf.DUMMYFUNCTION("GOOGLETRANSLATE(B2013, ""zh"", ""vi"")"),"#VALUE!")</f>
        <v/>
      </c>
      <c r="H1981" s="9">
        <f>G2013=B2013</f>
        <v/>
      </c>
    </row>
    <row r="1982">
      <c r="B1982" s="11" t="n"/>
      <c r="C1982" s="8">
        <f>pinyin(B2014)</f>
        <v/>
      </c>
      <c r="E1982" s="8">
        <f>IFERROR(__xludf.DUMMYFUNCTION("GOOGLETRANSLATE(B2014, ""zh"", ""vi"")"),"#VALUE!")</f>
        <v/>
      </c>
      <c r="H1982" s="9">
        <f>G2014=B2014</f>
        <v/>
      </c>
    </row>
    <row r="1983">
      <c r="B1983" s="11" t="n"/>
      <c r="C1983" s="8">
        <f>pinyin(B2015)</f>
        <v/>
      </c>
      <c r="E1983" s="8">
        <f>IFERROR(__xludf.DUMMYFUNCTION("GOOGLETRANSLATE(B2015, ""zh"", ""vi"")"),"#VALUE!")</f>
        <v/>
      </c>
      <c r="H1983" s="9">
        <f>G2015=B2015</f>
        <v/>
      </c>
    </row>
    <row r="1984">
      <c r="B1984" s="11" t="n"/>
      <c r="C1984" s="8">
        <f>pinyin(B2016)</f>
        <v/>
      </c>
      <c r="E1984" s="8">
        <f>IFERROR(__xludf.DUMMYFUNCTION("GOOGLETRANSLATE(B2016, ""zh"", ""vi"")"),"#VALUE!")</f>
        <v/>
      </c>
      <c r="H1984" s="9">
        <f>G2016=B2016</f>
        <v/>
      </c>
    </row>
    <row r="1985">
      <c r="B1985" s="11" t="n"/>
      <c r="C1985" s="8">
        <f>pinyin(B2017)</f>
        <v/>
      </c>
      <c r="E1985" s="8">
        <f>IFERROR(__xludf.DUMMYFUNCTION("GOOGLETRANSLATE(B2017, ""zh"", ""vi"")"),"#VALUE!")</f>
        <v/>
      </c>
      <c r="H1985" s="9">
        <f>G2017=B2017</f>
        <v/>
      </c>
    </row>
    <row r="1986">
      <c r="B1986" s="11" t="n"/>
      <c r="C1986" s="8">
        <f>pinyin(B2018)</f>
        <v/>
      </c>
      <c r="E1986" s="8">
        <f>IFERROR(__xludf.DUMMYFUNCTION("GOOGLETRANSLATE(B2018, ""zh"", ""vi"")"),"#VALUE!")</f>
        <v/>
      </c>
      <c r="H1986" s="9">
        <f>G2018=B2018</f>
        <v/>
      </c>
    </row>
    <row r="1987">
      <c r="B1987" s="11" t="n"/>
      <c r="C1987" s="8">
        <f>pinyin(B2019)</f>
        <v/>
      </c>
      <c r="E1987" s="8">
        <f>IFERROR(__xludf.DUMMYFUNCTION("GOOGLETRANSLATE(B2019, ""zh"", ""vi"")"),"#VALUE!")</f>
        <v/>
      </c>
      <c r="H1987" s="9">
        <f>G2019=B2019</f>
        <v/>
      </c>
    </row>
    <row r="1988">
      <c r="B1988" s="11" t="n"/>
      <c r="C1988" s="8">
        <f>pinyin(B2020)</f>
        <v/>
      </c>
      <c r="E1988" s="8">
        <f>IFERROR(__xludf.DUMMYFUNCTION("GOOGLETRANSLATE(B2020, ""zh"", ""vi"")"),"#VALUE!")</f>
        <v/>
      </c>
      <c r="H1988" s="9">
        <f>G2020=B2020</f>
        <v/>
      </c>
    </row>
    <row r="1989">
      <c r="B1989" s="11" t="n"/>
      <c r="C1989" s="8">
        <f>pinyin(B2021)</f>
        <v/>
      </c>
      <c r="E1989" s="8">
        <f>IFERROR(__xludf.DUMMYFUNCTION("GOOGLETRANSLATE(B2021, ""zh"", ""vi"")"),"#VALUE!")</f>
        <v/>
      </c>
      <c r="H1989" s="9">
        <f>G2021=B2021</f>
        <v/>
      </c>
    </row>
    <row r="1990">
      <c r="B1990" s="11" t="n"/>
      <c r="C1990" s="8">
        <f>pinyin(B2022)</f>
        <v/>
      </c>
      <c r="E1990" s="8">
        <f>IFERROR(__xludf.DUMMYFUNCTION("GOOGLETRANSLATE(B2022, ""zh"", ""vi"")"),"#VALUE!")</f>
        <v/>
      </c>
      <c r="H1990" s="9">
        <f>G2022=B2022</f>
        <v/>
      </c>
    </row>
    <row r="1991">
      <c r="B1991" s="11" t="n"/>
      <c r="C1991" s="8">
        <f>pinyin(B2023)</f>
        <v/>
      </c>
      <c r="E1991" s="8">
        <f>IFERROR(__xludf.DUMMYFUNCTION("GOOGLETRANSLATE(B2023, ""zh"", ""vi"")"),"#VALUE!")</f>
        <v/>
      </c>
      <c r="H1991" s="9">
        <f>G2023=B2023</f>
        <v/>
      </c>
    </row>
    <row r="1992">
      <c r="B1992" s="11" t="n"/>
      <c r="C1992" s="8">
        <f>pinyin(B2024)</f>
        <v/>
      </c>
      <c r="E1992" s="8">
        <f>IFERROR(__xludf.DUMMYFUNCTION("GOOGLETRANSLATE(B2024, ""zh"", ""vi"")"),"#VALUE!")</f>
        <v/>
      </c>
      <c r="H1992" s="9">
        <f>G2024=B2024</f>
        <v/>
      </c>
    </row>
    <row r="1993">
      <c r="B1993" s="11" t="n"/>
      <c r="C1993" s="8">
        <f>pinyin(B2025)</f>
        <v/>
      </c>
      <c r="E1993" s="8">
        <f>IFERROR(__xludf.DUMMYFUNCTION("GOOGLETRANSLATE(B2025, ""zh"", ""vi"")"),"#VALUE!")</f>
        <v/>
      </c>
      <c r="H1993" s="9">
        <f>G2025=B2025</f>
        <v/>
      </c>
    </row>
    <row r="1994">
      <c r="B1994" s="11" t="n"/>
      <c r="C1994" s="8">
        <f>pinyin(B2026)</f>
        <v/>
      </c>
      <c r="E1994" s="8">
        <f>IFERROR(__xludf.DUMMYFUNCTION("GOOGLETRANSLATE(B2026, ""zh"", ""vi"")"),"#VALUE!")</f>
        <v/>
      </c>
      <c r="H1994" s="9">
        <f>G2026=B2026</f>
        <v/>
      </c>
    </row>
    <row r="1995">
      <c r="B1995" s="11" t="n"/>
      <c r="C1995" s="8">
        <f>pinyin(B2027)</f>
        <v/>
      </c>
      <c r="E1995" s="8">
        <f>IFERROR(__xludf.DUMMYFUNCTION("GOOGLETRANSLATE(B2027, ""zh"", ""vi"")"),"#VALUE!")</f>
        <v/>
      </c>
      <c r="H1995" s="9">
        <f>G2027=B2027</f>
        <v/>
      </c>
    </row>
    <row r="1996">
      <c r="B1996" s="11" t="n"/>
      <c r="C1996" s="8">
        <f>pinyin(B2028)</f>
        <v/>
      </c>
      <c r="E1996" s="8">
        <f>IFERROR(__xludf.DUMMYFUNCTION("GOOGLETRANSLATE(B2028, ""zh"", ""vi"")"),"#VALUE!")</f>
        <v/>
      </c>
      <c r="H1996" s="9">
        <f>G2028=B2028</f>
        <v/>
      </c>
    </row>
    <row r="1997">
      <c r="B1997" s="11" t="n"/>
      <c r="C1997" s="8">
        <f>pinyin(B2029)</f>
        <v/>
      </c>
      <c r="E1997" s="8">
        <f>IFERROR(__xludf.DUMMYFUNCTION("GOOGLETRANSLATE(B2029, ""zh"", ""vi"")"),"#VALUE!")</f>
        <v/>
      </c>
      <c r="H1997" s="9">
        <f>G2029=B2029</f>
        <v/>
      </c>
    </row>
    <row r="1998">
      <c r="B1998" s="11" t="n"/>
      <c r="C1998" s="8">
        <f>pinyin(B2030)</f>
        <v/>
      </c>
      <c r="E1998" s="8">
        <f>IFERROR(__xludf.DUMMYFUNCTION("GOOGLETRANSLATE(B2030, ""zh"", ""vi"")"),"#VALUE!")</f>
        <v/>
      </c>
      <c r="H1998" s="9">
        <f>G2030=B2030</f>
        <v/>
      </c>
    </row>
    <row r="1999">
      <c r="B1999" s="11" t="n"/>
      <c r="C1999" s="8">
        <f>pinyin(B2031)</f>
        <v/>
      </c>
      <c r="E1999" s="8">
        <f>IFERROR(__xludf.DUMMYFUNCTION("GOOGLETRANSLATE(B2031, ""zh"", ""vi"")"),"#VALUE!")</f>
        <v/>
      </c>
      <c r="H1999" s="9">
        <f>G2031=B2031</f>
        <v/>
      </c>
    </row>
    <row r="2000">
      <c r="B2000" s="11" t="n"/>
      <c r="C2000" s="8">
        <f>pinyin(B2032)</f>
        <v/>
      </c>
      <c r="E2000" s="8">
        <f>IFERROR(__xludf.DUMMYFUNCTION("GOOGLETRANSLATE(B2032, ""zh"", ""vi"")"),"#VALUE!")</f>
        <v/>
      </c>
      <c r="H2000" s="9">
        <f>G2032=B2032</f>
        <v/>
      </c>
    </row>
    <row r="2001">
      <c r="B2001" s="11" t="n"/>
      <c r="C2001" s="8">
        <f>pinyin(B2033)</f>
        <v/>
      </c>
      <c r="E2001" s="8">
        <f>IFERROR(__xludf.DUMMYFUNCTION("GOOGLETRANSLATE(B2033, ""zh"", ""vi"")"),"#VALUE!")</f>
        <v/>
      </c>
      <c r="H2001" s="9">
        <f>G2033=B2033</f>
        <v/>
      </c>
    </row>
    <row r="2002">
      <c r="B2002" s="11" t="n"/>
      <c r="C2002" s="8">
        <f>pinyin(B2034)</f>
        <v/>
      </c>
      <c r="E2002" s="8">
        <f>IFERROR(__xludf.DUMMYFUNCTION("GOOGLETRANSLATE(B2034, ""zh"", ""vi"")"),"#VALUE!")</f>
        <v/>
      </c>
      <c r="H2002" s="9">
        <f>G2034=B2034</f>
        <v/>
      </c>
    </row>
    <row r="2003">
      <c r="B2003" s="11" t="n"/>
      <c r="C2003" s="8">
        <f>pinyin(B2035)</f>
        <v/>
      </c>
      <c r="E2003" s="8">
        <f>IFERROR(__xludf.DUMMYFUNCTION("GOOGLETRANSLATE(B2035, ""zh"", ""vi"")"),"#VALUE!")</f>
        <v/>
      </c>
      <c r="H2003" s="9">
        <f>G2035=B2035</f>
        <v/>
      </c>
    </row>
    <row r="2004">
      <c r="B2004" s="11" t="n"/>
      <c r="C2004" s="8">
        <f>pinyin(B2036)</f>
        <v/>
      </c>
      <c r="E2004" s="8">
        <f>IFERROR(__xludf.DUMMYFUNCTION("GOOGLETRANSLATE(B2036, ""zh"", ""vi"")"),"#VALUE!")</f>
        <v/>
      </c>
      <c r="H2004" s="9">
        <f>G2036=B2036</f>
        <v/>
      </c>
    </row>
    <row r="2005">
      <c r="B2005" s="11" t="n"/>
      <c r="C2005" s="8">
        <f>pinyin(B2037)</f>
        <v/>
      </c>
      <c r="E2005" s="8">
        <f>IFERROR(__xludf.DUMMYFUNCTION("GOOGLETRANSLATE(B2037, ""zh"", ""vi"")"),"#VALUE!")</f>
        <v/>
      </c>
      <c r="H2005" s="9">
        <f>G2037=B2037</f>
        <v/>
      </c>
    </row>
    <row r="2006">
      <c r="B2006" s="11" t="n"/>
      <c r="C2006" s="8">
        <f>pinyin(B2038)</f>
        <v/>
      </c>
      <c r="E2006" s="8">
        <f>IFERROR(__xludf.DUMMYFUNCTION("GOOGLETRANSLATE(B2038, ""zh"", ""vi"")"),"#VALUE!")</f>
        <v/>
      </c>
      <c r="H2006" s="9">
        <f>G2038=B2038</f>
        <v/>
      </c>
    </row>
    <row r="2007">
      <c r="B2007" s="11" t="n"/>
      <c r="C2007" s="8">
        <f>pinyin(B2039)</f>
        <v/>
      </c>
      <c r="E2007" s="8">
        <f>IFERROR(__xludf.DUMMYFUNCTION("GOOGLETRANSLATE(B2039, ""zh"", ""vi"")"),"#VALUE!")</f>
        <v/>
      </c>
      <c r="H2007" s="9">
        <f>G2039=B2039</f>
        <v/>
      </c>
    </row>
    <row r="2008">
      <c r="B2008" s="11" t="n"/>
      <c r="C2008" s="8">
        <f>pinyin(B2040)</f>
        <v/>
      </c>
      <c r="E2008" s="8">
        <f>IFERROR(__xludf.DUMMYFUNCTION("GOOGLETRANSLATE(B2040, ""zh"", ""vi"")"),"#VALUE!")</f>
        <v/>
      </c>
      <c r="H2008" s="9">
        <f>G2040=B2040</f>
        <v/>
      </c>
    </row>
    <row r="2009">
      <c r="B2009" s="11" t="n"/>
      <c r="C2009" s="8">
        <f>pinyin(B2041)</f>
        <v/>
      </c>
      <c r="E2009" s="8">
        <f>IFERROR(__xludf.DUMMYFUNCTION("GOOGLETRANSLATE(B2041, ""zh"", ""vi"")"),"#VALUE!")</f>
        <v/>
      </c>
      <c r="H2009" s="9">
        <f>G2041=B2041</f>
        <v/>
      </c>
    </row>
    <row r="2010">
      <c r="B2010" s="11" t="n"/>
      <c r="C2010" s="8">
        <f>pinyin(B2042)</f>
        <v/>
      </c>
      <c r="E2010" s="8">
        <f>IFERROR(__xludf.DUMMYFUNCTION("GOOGLETRANSLATE(B2042, ""zh"", ""vi"")"),"#VALUE!")</f>
        <v/>
      </c>
      <c r="H2010" s="9">
        <f>G2042=B2042</f>
        <v/>
      </c>
    </row>
    <row r="2011">
      <c r="B2011" s="11" t="n"/>
      <c r="C2011" s="8">
        <f>pinyin(B2043)</f>
        <v/>
      </c>
      <c r="E2011" s="8">
        <f>IFERROR(__xludf.DUMMYFUNCTION("GOOGLETRANSLATE(B2043, ""zh"", ""vi"")"),"#VALUE!")</f>
        <v/>
      </c>
      <c r="H2011" s="9">
        <f>G2043=B2043</f>
        <v/>
      </c>
    </row>
    <row r="2012">
      <c r="B2012" s="11" t="n"/>
      <c r="C2012" s="8">
        <f>pinyin(B2044)</f>
        <v/>
      </c>
      <c r="E2012" s="8">
        <f>IFERROR(__xludf.DUMMYFUNCTION("GOOGLETRANSLATE(B2044, ""zh"", ""vi"")"),"#VALUE!")</f>
        <v/>
      </c>
      <c r="H2012" s="9">
        <f>G2044=B2044</f>
        <v/>
      </c>
    </row>
    <row r="2013">
      <c r="B2013" s="11" t="n"/>
      <c r="C2013" s="8">
        <f>pinyin(B2045)</f>
        <v/>
      </c>
      <c r="E2013" s="8">
        <f>IFERROR(__xludf.DUMMYFUNCTION("GOOGLETRANSLATE(B2045, ""zh"", ""vi"")"),"#VALUE!")</f>
        <v/>
      </c>
      <c r="H2013" s="9">
        <f>G2045=B2045</f>
        <v/>
      </c>
    </row>
    <row r="2014">
      <c r="B2014" s="11" t="n"/>
      <c r="C2014" s="8">
        <f>pinyin(B2046)</f>
        <v/>
      </c>
      <c r="E2014" s="8">
        <f>IFERROR(__xludf.DUMMYFUNCTION("GOOGLETRANSLATE(B2046, ""zh"", ""vi"")"),"#VALUE!")</f>
        <v/>
      </c>
      <c r="H2014" s="9">
        <f>G2046=B2046</f>
        <v/>
      </c>
    </row>
    <row r="2015">
      <c r="B2015" s="11" t="n"/>
      <c r="C2015" s="8">
        <f>pinyin(B2047)</f>
        <v/>
      </c>
      <c r="E2015" s="8">
        <f>IFERROR(__xludf.DUMMYFUNCTION("GOOGLETRANSLATE(B2047, ""zh"", ""vi"")"),"#VALUE!")</f>
        <v/>
      </c>
      <c r="H2015" s="9">
        <f>G2047=B2047</f>
        <v/>
      </c>
    </row>
    <row r="2016">
      <c r="B2016" s="11" t="n"/>
      <c r="C2016" s="8">
        <f>pinyin(B2048)</f>
        <v/>
      </c>
      <c r="E2016" s="8">
        <f>IFERROR(__xludf.DUMMYFUNCTION("GOOGLETRANSLATE(B2048, ""zh"", ""vi"")"),"#VALUE!")</f>
        <v/>
      </c>
      <c r="H2016" s="9">
        <f>G2048=B2048</f>
        <v/>
      </c>
    </row>
    <row r="2017">
      <c r="B2017" s="11" t="n"/>
      <c r="C2017" s="8">
        <f>pinyin(B2049)</f>
        <v/>
      </c>
      <c r="E2017" s="8">
        <f>IFERROR(__xludf.DUMMYFUNCTION("GOOGLETRANSLATE(B2049, ""zh"", ""vi"")"),"#VALUE!")</f>
        <v/>
      </c>
      <c r="H2017" s="9">
        <f>G2049=B2049</f>
        <v/>
      </c>
    </row>
    <row r="2018">
      <c r="B2018" s="11" t="n"/>
      <c r="C2018" s="8">
        <f>pinyin(B2050)</f>
        <v/>
      </c>
      <c r="E2018" s="8">
        <f>IFERROR(__xludf.DUMMYFUNCTION("GOOGLETRANSLATE(B2050, ""zh"", ""vi"")"),"#VALUE!")</f>
        <v/>
      </c>
      <c r="H2018" s="9">
        <f>G2050=B2050</f>
        <v/>
      </c>
    </row>
    <row r="2019">
      <c r="B2019" s="11" t="n"/>
      <c r="C2019" s="8">
        <f>pinyin(B2051)</f>
        <v/>
      </c>
      <c r="E2019" s="8">
        <f>IFERROR(__xludf.DUMMYFUNCTION("GOOGLETRANSLATE(B2051, ""zh"", ""vi"")"),"#VALUE!")</f>
        <v/>
      </c>
      <c r="H2019" s="9">
        <f>G2051=B2051</f>
        <v/>
      </c>
    </row>
    <row r="2020">
      <c r="B2020" s="11" t="n"/>
      <c r="C2020" s="8">
        <f>pinyin(B2052)</f>
        <v/>
      </c>
      <c r="E2020" s="8">
        <f>IFERROR(__xludf.DUMMYFUNCTION("GOOGLETRANSLATE(B2052, ""zh"", ""vi"")"),"#VALUE!")</f>
        <v/>
      </c>
      <c r="H2020" s="9">
        <f>G2052=B2052</f>
        <v/>
      </c>
    </row>
    <row r="2021">
      <c r="B2021" s="11" t="n"/>
      <c r="C2021" s="8">
        <f>pinyin(B2053)</f>
        <v/>
      </c>
      <c r="E2021" s="8">
        <f>IFERROR(__xludf.DUMMYFUNCTION("GOOGLETRANSLATE(B2053, ""zh"", ""vi"")"),"#VALUE!")</f>
        <v/>
      </c>
      <c r="H2021" s="9">
        <f>G2053=B2053</f>
        <v/>
      </c>
    </row>
    <row r="2022">
      <c r="B2022" s="11" t="n"/>
      <c r="C2022" s="8">
        <f>pinyin(B2054)</f>
        <v/>
      </c>
      <c r="E2022" s="8">
        <f>IFERROR(__xludf.DUMMYFUNCTION("GOOGLETRANSLATE(B2054, ""zh"", ""vi"")"),"#VALUE!")</f>
        <v/>
      </c>
      <c r="H2022" s="9">
        <f>G2054=B2054</f>
        <v/>
      </c>
    </row>
    <row r="2023">
      <c r="B2023" s="11" t="n"/>
      <c r="C2023" s="8">
        <f>pinyin(B2055)</f>
        <v/>
      </c>
      <c r="E2023" s="8">
        <f>IFERROR(__xludf.DUMMYFUNCTION("GOOGLETRANSLATE(B2055, ""zh"", ""vi"")"),"#VALUE!")</f>
        <v/>
      </c>
      <c r="H2023" s="9">
        <f>G2055=B2055</f>
        <v/>
      </c>
    </row>
    <row r="2024">
      <c r="B2024" s="11" t="n"/>
      <c r="C2024" s="8">
        <f>pinyin(B2056)</f>
        <v/>
      </c>
      <c r="E2024" s="8">
        <f>IFERROR(__xludf.DUMMYFUNCTION("GOOGLETRANSLATE(B2056, ""zh"", ""vi"")"),"#VALUE!")</f>
        <v/>
      </c>
      <c r="H2024" s="9">
        <f>G2056=B2056</f>
        <v/>
      </c>
    </row>
    <row r="2025">
      <c r="B2025" s="11" t="n"/>
      <c r="C2025" s="8">
        <f>pinyin(B2057)</f>
        <v/>
      </c>
      <c r="E2025" s="8">
        <f>IFERROR(__xludf.DUMMYFUNCTION("GOOGLETRANSLATE(B2057, ""zh"", ""vi"")"),"#VALUE!")</f>
        <v/>
      </c>
      <c r="H2025" s="9">
        <f>G2057=B2057</f>
        <v/>
      </c>
    </row>
    <row r="2026">
      <c r="B2026" s="11" t="n"/>
      <c r="C2026" s="8">
        <f>pinyin(B2058)</f>
        <v/>
      </c>
      <c r="E2026" s="8">
        <f>IFERROR(__xludf.DUMMYFUNCTION("GOOGLETRANSLATE(B2058, ""zh"", ""vi"")"),"#VALUE!")</f>
        <v/>
      </c>
      <c r="H2026" s="9">
        <f>G2058=B2058</f>
        <v/>
      </c>
    </row>
    <row r="2027">
      <c r="B2027" s="11" t="n"/>
      <c r="C2027" s="8">
        <f>pinyin(B2059)</f>
        <v/>
      </c>
      <c r="E2027" s="8">
        <f>IFERROR(__xludf.DUMMYFUNCTION("GOOGLETRANSLATE(B2059, ""zh"", ""vi"")"),"#VALUE!")</f>
        <v/>
      </c>
      <c r="H2027" s="9">
        <f>G2059=B2059</f>
        <v/>
      </c>
    </row>
    <row r="2028">
      <c r="B2028" s="11" t="n"/>
      <c r="C2028" s="8">
        <f>pinyin(B2060)</f>
        <v/>
      </c>
      <c r="E2028" s="8">
        <f>IFERROR(__xludf.DUMMYFUNCTION("GOOGLETRANSLATE(B2060, ""zh"", ""vi"")"),"#VALUE!")</f>
        <v/>
      </c>
      <c r="H2028" s="9">
        <f>G2060=B2060</f>
        <v/>
      </c>
    </row>
    <row r="2029">
      <c r="B2029" s="11" t="n"/>
      <c r="C2029" s="8">
        <f>pinyin(B2061)</f>
        <v/>
      </c>
      <c r="E2029" s="8">
        <f>IFERROR(__xludf.DUMMYFUNCTION("GOOGLETRANSLATE(B2061, ""zh"", ""vi"")"),"#VALUE!")</f>
        <v/>
      </c>
      <c r="H2029" s="9">
        <f>G2061=B2061</f>
        <v/>
      </c>
    </row>
    <row r="2030">
      <c r="B2030" s="11" t="n"/>
      <c r="C2030" s="8">
        <f>pinyin(B2062)</f>
        <v/>
      </c>
      <c r="E2030" s="8">
        <f>IFERROR(__xludf.DUMMYFUNCTION("GOOGLETRANSLATE(B2062, ""zh"", ""vi"")"),"#VALUE!")</f>
        <v/>
      </c>
      <c r="H2030" s="9">
        <f>G2062=B2062</f>
        <v/>
      </c>
    </row>
    <row r="2031">
      <c r="B2031" s="11" t="n"/>
      <c r="C2031" s="8">
        <f>pinyin(B2063)</f>
        <v/>
      </c>
      <c r="E2031" s="8">
        <f>IFERROR(__xludf.DUMMYFUNCTION("GOOGLETRANSLATE(B2063, ""zh"", ""vi"")"),"#VALUE!")</f>
        <v/>
      </c>
      <c r="H2031" s="9">
        <f>G2063=B2063</f>
        <v/>
      </c>
    </row>
    <row r="2032">
      <c r="B2032" s="11" t="n"/>
      <c r="C2032" s="8">
        <f>pinyin(B2064)</f>
        <v/>
      </c>
      <c r="E2032" s="8">
        <f>IFERROR(__xludf.DUMMYFUNCTION("GOOGLETRANSLATE(B2064, ""zh"", ""vi"")"),"#VALUE!")</f>
        <v/>
      </c>
      <c r="H2032" s="9">
        <f>G2064=B2064</f>
        <v/>
      </c>
    </row>
    <row r="2033">
      <c r="B2033" s="11" t="n"/>
      <c r="C2033" s="8">
        <f>pinyin(B2065)</f>
        <v/>
      </c>
      <c r="E2033" s="8">
        <f>IFERROR(__xludf.DUMMYFUNCTION("GOOGLETRANSLATE(B2065, ""zh"", ""vi"")"),"#VALUE!")</f>
        <v/>
      </c>
      <c r="H2033" s="9">
        <f>G2065=B2065</f>
        <v/>
      </c>
    </row>
    <row r="2034">
      <c r="B2034" s="11" t="n"/>
      <c r="C2034" s="8">
        <f>pinyin(B2066)</f>
        <v/>
      </c>
      <c r="E2034" s="8">
        <f>IFERROR(__xludf.DUMMYFUNCTION("GOOGLETRANSLATE(B2066, ""zh"", ""vi"")"),"#VALUE!")</f>
        <v/>
      </c>
      <c r="H2034" s="9">
        <f>G2066=B2066</f>
        <v/>
      </c>
    </row>
    <row r="2035">
      <c r="B2035" s="11" t="n"/>
      <c r="C2035" s="8">
        <f>pinyin(B2067)</f>
        <v/>
      </c>
      <c r="E2035" s="8">
        <f>IFERROR(__xludf.DUMMYFUNCTION("GOOGLETRANSLATE(B2067, ""zh"", ""vi"")"),"#VALUE!")</f>
        <v/>
      </c>
      <c r="H2035" s="9">
        <f>G2067=B2067</f>
        <v/>
      </c>
    </row>
    <row r="2036">
      <c r="B2036" s="11" t="n"/>
      <c r="C2036" s="8">
        <f>pinyin(B2068)</f>
        <v/>
      </c>
      <c r="E2036" s="8">
        <f>IFERROR(__xludf.DUMMYFUNCTION("GOOGLETRANSLATE(B2068, ""zh"", ""vi"")"),"#VALUE!")</f>
        <v/>
      </c>
      <c r="H2036" s="9">
        <f>G2068=B2068</f>
        <v/>
      </c>
    </row>
    <row r="2037">
      <c r="B2037" s="11" t="n"/>
      <c r="C2037" s="8">
        <f>pinyin(B2069)</f>
        <v/>
      </c>
      <c r="E2037" s="8">
        <f>IFERROR(__xludf.DUMMYFUNCTION("GOOGLETRANSLATE(B2069, ""zh"", ""vi"")"),"#VALUE!")</f>
        <v/>
      </c>
      <c r="H2037" s="9">
        <f>G2069=B2069</f>
        <v/>
      </c>
    </row>
    <row r="2038">
      <c r="B2038" s="11" t="n"/>
      <c r="C2038" s="8">
        <f>pinyin(B2070)</f>
        <v/>
      </c>
      <c r="E2038" s="8">
        <f>IFERROR(__xludf.DUMMYFUNCTION("GOOGLETRANSLATE(B2070, ""zh"", ""vi"")"),"#VALUE!")</f>
        <v/>
      </c>
      <c r="H2038" s="9">
        <f>G2070=B2070</f>
        <v/>
      </c>
    </row>
    <row r="2039">
      <c r="B2039" s="11" t="n"/>
      <c r="C2039" s="8">
        <f>pinyin(B2071)</f>
        <v/>
      </c>
      <c r="E2039" s="8">
        <f>IFERROR(__xludf.DUMMYFUNCTION("GOOGLETRANSLATE(B2071, ""zh"", ""vi"")"),"#VALUE!")</f>
        <v/>
      </c>
      <c r="H2039" s="9">
        <f>G2071=B2071</f>
        <v/>
      </c>
    </row>
    <row r="2040">
      <c r="B2040" s="11" t="n"/>
      <c r="C2040" s="8">
        <f>pinyin(B2072)</f>
        <v/>
      </c>
      <c r="E2040" s="8">
        <f>IFERROR(__xludf.DUMMYFUNCTION("GOOGLETRANSLATE(B2072, ""zh"", ""vi"")"),"#VALUE!")</f>
        <v/>
      </c>
      <c r="H2040" s="9">
        <f>G2072=B2072</f>
        <v/>
      </c>
    </row>
    <row r="2041">
      <c r="B2041" s="11" t="n"/>
      <c r="C2041" s="8">
        <f>pinyin(B2073)</f>
        <v/>
      </c>
      <c r="E2041" s="8">
        <f>IFERROR(__xludf.DUMMYFUNCTION("GOOGLETRANSLATE(B2073, ""zh"", ""vi"")"),"#VALUE!")</f>
        <v/>
      </c>
      <c r="H2041" s="9">
        <f>G2073=B2073</f>
        <v/>
      </c>
    </row>
    <row r="2042">
      <c r="B2042" s="11" t="n"/>
      <c r="C2042" s="8">
        <f>pinyin(B2074)</f>
        <v/>
      </c>
      <c r="E2042" s="8">
        <f>IFERROR(__xludf.DUMMYFUNCTION("GOOGLETRANSLATE(B2074, ""zh"", ""vi"")"),"#VALUE!")</f>
        <v/>
      </c>
      <c r="H2042" s="9">
        <f>G2074=B2074</f>
        <v/>
      </c>
    </row>
    <row r="2043">
      <c r="B2043" s="11" t="n"/>
      <c r="C2043" s="8">
        <f>pinyin(B2075)</f>
        <v/>
      </c>
      <c r="E2043" s="8">
        <f>IFERROR(__xludf.DUMMYFUNCTION("GOOGLETRANSLATE(B2075, ""zh"", ""vi"")"),"#VALUE!")</f>
        <v/>
      </c>
      <c r="H2043" s="9">
        <f>G2075=B2075</f>
        <v/>
      </c>
    </row>
    <row r="2044">
      <c r="B2044" s="11" t="n"/>
      <c r="C2044" s="8">
        <f>pinyin(B2076)</f>
        <v/>
      </c>
      <c r="E2044" s="8">
        <f>IFERROR(__xludf.DUMMYFUNCTION("GOOGLETRANSLATE(B2076, ""zh"", ""vi"")"),"#VALUE!")</f>
        <v/>
      </c>
      <c r="H2044" s="9">
        <f>G2076=B2076</f>
        <v/>
      </c>
    </row>
    <row r="2045">
      <c r="B2045" s="11" t="n"/>
      <c r="C2045" s="8">
        <f>pinyin(B2077)</f>
        <v/>
      </c>
      <c r="E2045" s="8">
        <f>IFERROR(__xludf.DUMMYFUNCTION("GOOGLETRANSLATE(B2077, ""zh"", ""vi"")"),"#VALUE!")</f>
        <v/>
      </c>
      <c r="H2045" s="9">
        <f>G2077=B2077</f>
        <v/>
      </c>
    </row>
    <row r="2046">
      <c r="B2046" s="11" t="n"/>
      <c r="C2046" s="8">
        <f>pinyin(B2078)</f>
        <v/>
      </c>
      <c r="E2046" s="8">
        <f>IFERROR(__xludf.DUMMYFUNCTION("GOOGLETRANSLATE(B2078, ""zh"", ""vi"")"),"#VALUE!")</f>
        <v/>
      </c>
      <c r="H2046" s="9">
        <f>G2078=B2078</f>
        <v/>
      </c>
    </row>
    <row r="2047">
      <c r="B2047" s="11" t="n"/>
      <c r="C2047" s="8">
        <f>pinyin(B2079)</f>
        <v/>
      </c>
      <c r="E2047" s="8">
        <f>IFERROR(__xludf.DUMMYFUNCTION("GOOGLETRANSLATE(B2079, ""zh"", ""vi"")"),"#VALUE!")</f>
        <v/>
      </c>
      <c r="H2047" s="9">
        <f>G2079=B2079</f>
        <v/>
      </c>
    </row>
    <row r="2048">
      <c r="B2048" s="11" t="n"/>
      <c r="C2048" s="8">
        <f>pinyin(B2080)</f>
        <v/>
      </c>
      <c r="E2048" s="8">
        <f>IFERROR(__xludf.DUMMYFUNCTION("GOOGLETRANSLATE(B2080, ""zh"", ""vi"")"),"#VALUE!")</f>
        <v/>
      </c>
      <c r="H2048" s="9">
        <f>G2080=B2080</f>
        <v/>
      </c>
    </row>
    <row r="2049">
      <c r="B2049" s="11" t="n"/>
      <c r="C2049" s="8">
        <f>pinyin(B2081)</f>
        <v/>
      </c>
      <c r="E2049" s="8">
        <f>IFERROR(__xludf.DUMMYFUNCTION("GOOGLETRANSLATE(B2081, ""zh"", ""vi"")"),"#VALUE!")</f>
        <v/>
      </c>
      <c r="H2049" s="9">
        <f>G2081=B2081</f>
        <v/>
      </c>
    </row>
    <row r="2050">
      <c r="B2050" s="11" t="n"/>
      <c r="C2050" s="8">
        <f>pinyin(B2082)</f>
        <v/>
      </c>
      <c r="E2050" s="8">
        <f>IFERROR(__xludf.DUMMYFUNCTION("GOOGLETRANSLATE(B2082, ""zh"", ""vi"")"),"#VALUE!")</f>
        <v/>
      </c>
      <c r="H2050" s="9">
        <f>G2082=B2082</f>
        <v/>
      </c>
    </row>
    <row r="2051">
      <c r="B2051" s="11" t="n"/>
      <c r="C2051" s="8">
        <f>pinyin(B2083)</f>
        <v/>
      </c>
      <c r="E2051" s="8">
        <f>IFERROR(__xludf.DUMMYFUNCTION("GOOGLETRANSLATE(B2083, ""zh"", ""vi"")"),"#VALUE!")</f>
        <v/>
      </c>
      <c r="H2051" s="9">
        <f>G2083=B2083</f>
        <v/>
      </c>
    </row>
    <row r="2052">
      <c r="B2052" s="11" t="n"/>
      <c r="C2052" s="8">
        <f>pinyin(B2084)</f>
        <v/>
      </c>
      <c r="E2052" s="8">
        <f>IFERROR(__xludf.DUMMYFUNCTION("GOOGLETRANSLATE(B2084, ""zh"", ""vi"")"),"#VALUE!")</f>
        <v/>
      </c>
      <c r="H2052" s="9">
        <f>G2084=B2084</f>
        <v/>
      </c>
    </row>
    <row r="2053">
      <c r="B2053" s="11" t="n"/>
      <c r="C2053" s="8">
        <f>pinyin(B2085)</f>
        <v/>
      </c>
      <c r="E2053" s="8">
        <f>IFERROR(__xludf.DUMMYFUNCTION("GOOGLETRANSLATE(B2085, ""zh"", ""vi"")"),"#VALUE!")</f>
        <v/>
      </c>
      <c r="H2053" s="9">
        <f>G2085=B2085</f>
        <v/>
      </c>
    </row>
    <row r="2054">
      <c r="B2054" s="11" t="n"/>
      <c r="C2054" s="8">
        <f>pinyin(B2086)</f>
        <v/>
      </c>
      <c r="E2054" s="8">
        <f>IFERROR(__xludf.DUMMYFUNCTION("GOOGLETRANSLATE(B2086, ""zh"", ""vi"")"),"#VALUE!")</f>
        <v/>
      </c>
      <c r="H2054" s="9">
        <f>G2086=B2086</f>
        <v/>
      </c>
    </row>
    <row r="2055">
      <c r="B2055" s="11" t="n"/>
      <c r="C2055" s="8">
        <f>pinyin(B2087)</f>
        <v/>
      </c>
      <c r="E2055" s="8">
        <f>IFERROR(__xludf.DUMMYFUNCTION("GOOGLETRANSLATE(B2087, ""zh"", ""vi"")"),"#VALUE!")</f>
        <v/>
      </c>
      <c r="H2055" s="9">
        <f>G2087=B2087</f>
        <v/>
      </c>
    </row>
    <row r="2056">
      <c r="B2056" s="11" t="n"/>
      <c r="C2056" s="8">
        <f>pinyin(B2088)</f>
        <v/>
      </c>
      <c r="E2056" s="8">
        <f>IFERROR(__xludf.DUMMYFUNCTION("GOOGLETRANSLATE(B2088, ""zh"", ""vi"")"),"#VALUE!")</f>
        <v/>
      </c>
      <c r="H2056" s="9">
        <f>G2088=B2088</f>
        <v/>
      </c>
    </row>
    <row r="2057">
      <c r="B2057" s="11" t="n"/>
      <c r="C2057" s="8">
        <f>pinyin(B2089)</f>
        <v/>
      </c>
      <c r="E2057" s="8">
        <f>IFERROR(__xludf.DUMMYFUNCTION("GOOGLETRANSLATE(B2089, ""zh"", ""vi"")"),"#VALUE!")</f>
        <v/>
      </c>
      <c r="H2057" s="9">
        <f>G2089=B2089</f>
        <v/>
      </c>
    </row>
    <row r="2058">
      <c r="B2058" s="11" t="n"/>
      <c r="C2058" s="8">
        <f>pinyin(B2090)</f>
        <v/>
      </c>
      <c r="E2058" s="8">
        <f>IFERROR(__xludf.DUMMYFUNCTION("GOOGLETRANSLATE(B2090, ""zh"", ""vi"")"),"#VALUE!")</f>
        <v/>
      </c>
      <c r="H2058" s="9">
        <f>G2090=B2090</f>
        <v/>
      </c>
    </row>
    <row r="2059">
      <c r="B2059" s="11" t="n"/>
      <c r="C2059" s="8">
        <f>pinyin(B2091)</f>
        <v/>
      </c>
      <c r="E2059" s="8">
        <f>IFERROR(__xludf.DUMMYFUNCTION("GOOGLETRANSLATE(B2091, ""zh"", ""vi"")"),"#VALUE!")</f>
        <v/>
      </c>
      <c r="H2059" s="9">
        <f>G2091=B2091</f>
        <v/>
      </c>
    </row>
    <row r="2060">
      <c r="B2060" s="11" t="n"/>
      <c r="C2060" s="8">
        <f>pinyin(B2092)</f>
        <v/>
      </c>
      <c r="E2060" s="8">
        <f>IFERROR(__xludf.DUMMYFUNCTION("GOOGLETRANSLATE(B2092, ""zh"", ""vi"")"),"#VALUE!")</f>
        <v/>
      </c>
      <c r="H2060" s="9">
        <f>G2092=B2092</f>
        <v/>
      </c>
    </row>
    <row r="2061">
      <c r="B2061" s="11" t="n"/>
      <c r="C2061" s="8">
        <f>pinyin(B2093)</f>
        <v/>
      </c>
      <c r="E2061" s="8">
        <f>IFERROR(__xludf.DUMMYFUNCTION("GOOGLETRANSLATE(B2093, ""zh"", ""vi"")"),"#VALUE!")</f>
        <v/>
      </c>
      <c r="H2061" s="9">
        <f>G2093=B2093</f>
        <v/>
      </c>
    </row>
    <row r="2062">
      <c r="B2062" s="11" t="n"/>
      <c r="C2062" s="8">
        <f>pinyin(B2094)</f>
        <v/>
      </c>
      <c r="E2062" s="8">
        <f>IFERROR(__xludf.DUMMYFUNCTION("GOOGLETRANSLATE(B2094, ""zh"", ""vi"")"),"#VALUE!")</f>
        <v/>
      </c>
      <c r="H2062" s="9">
        <f>G2094=B2094</f>
        <v/>
      </c>
    </row>
    <row r="2063">
      <c r="B2063" s="11" t="n"/>
      <c r="C2063" s="8">
        <f>pinyin(B2095)</f>
        <v/>
      </c>
      <c r="E2063" s="8">
        <f>IFERROR(__xludf.DUMMYFUNCTION("GOOGLETRANSLATE(B2095, ""zh"", ""vi"")"),"#VALUE!")</f>
        <v/>
      </c>
      <c r="H2063" s="9">
        <f>G2095=B2095</f>
        <v/>
      </c>
    </row>
    <row r="2064">
      <c r="B2064" s="11" t="n"/>
      <c r="C2064" s="8">
        <f>pinyin(B2096)</f>
        <v/>
      </c>
      <c r="E2064" s="8">
        <f>IFERROR(__xludf.DUMMYFUNCTION("GOOGLETRANSLATE(B2096, ""zh"", ""vi"")"),"#VALUE!")</f>
        <v/>
      </c>
      <c r="H2064" s="9">
        <f>G2096=B2096</f>
        <v/>
      </c>
    </row>
    <row r="2065">
      <c r="B2065" s="11" t="n"/>
      <c r="C2065" s="8">
        <f>pinyin(B2097)</f>
        <v/>
      </c>
      <c r="E2065" s="8">
        <f>IFERROR(__xludf.DUMMYFUNCTION("GOOGLETRANSLATE(B2097, ""zh"", ""vi"")"),"#VALUE!")</f>
        <v/>
      </c>
      <c r="H2065" s="9">
        <f>G2097=B2097</f>
        <v/>
      </c>
    </row>
    <row r="2066">
      <c r="B2066" s="11" t="n"/>
      <c r="C2066" s="8">
        <f>pinyin(B2098)</f>
        <v/>
      </c>
      <c r="E2066" s="8">
        <f>IFERROR(__xludf.DUMMYFUNCTION("GOOGLETRANSLATE(B2098, ""zh"", ""vi"")"),"#VALUE!")</f>
        <v/>
      </c>
      <c r="H2066" s="9">
        <f>G2098=B2098</f>
        <v/>
      </c>
    </row>
    <row r="2067">
      <c r="B2067" s="11" t="n"/>
      <c r="C2067" s="8">
        <f>pinyin(B2099)</f>
        <v/>
      </c>
      <c r="E2067" s="8">
        <f>IFERROR(__xludf.DUMMYFUNCTION("GOOGLETRANSLATE(B2099, ""zh"", ""vi"")"),"#VALUE!")</f>
        <v/>
      </c>
      <c r="H2067" s="9">
        <f>G2099=B2099</f>
        <v/>
      </c>
    </row>
    <row r="2068">
      <c r="B2068" s="11" t="n"/>
      <c r="C2068" s="8">
        <f>pinyin(B2100)</f>
        <v/>
      </c>
      <c r="E2068" s="8">
        <f>IFERROR(__xludf.DUMMYFUNCTION("GOOGLETRANSLATE(B2100, ""zh"", ""vi"")"),"#VALUE!")</f>
        <v/>
      </c>
      <c r="H2068" s="9">
        <f>G2100=B2100</f>
        <v/>
      </c>
    </row>
    <row r="2069">
      <c r="B2069" s="11" t="n"/>
      <c r="C2069" s="8">
        <f>pinyin(B2101)</f>
        <v/>
      </c>
      <c r="E2069" s="8">
        <f>IFERROR(__xludf.DUMMYFUNCTION("GOOGLETRANSLATE(B2101, ""zh"", ""vi"")"),"#VALUE!")</f>
        <v/>
      </c>
      <c r="H2069" s="9">
        <f>G2101=B2101</f>
        <v/>
      </c>
    </row>
    <row r="2070">
      <c r="B2070" s="11" t="n"/>
      <c r="C2070" s="8">
        <f>pinyin(B2102)</f>
        <v/>
      </c>
      <c r="E2070" s="8">
        <f>IFERROR(__xludf.DUMMYFUNCTION("GOOGLETRANSLATE(B2102, ""zh"", ""vi"")"),"#VALUE!")</f>
        <v/>
      </c>
      <c r="H2070" s="9">
        <f>G2102=B2102</f>
        <v/>
      </c>
    </row>
    <row r="2071">
      <c r="B2071" s="11" t="n"/>
      <c r="C2071" s="8">
        <f>pinyin(B2103)</f>
        <v/>
      </c>
      <c r="E2071" s="8">
        <f>IFERROR(__xludf.DUMMYFUNCTION("GOOGLETRANSLATE(B2103, ""zh"", ""vi"")"),"#VALUE!")</f>
        <v/>
      </c>
      <c r="H2071" s="9">
        <f>G2103=B2103</f>
        <v/>
      </c>
    </row>
    <row r="2072">
      <c r="B2072" s="11" t="n"/>
      <c r="C2072" s="8">
        <f>pinyin(B2104)</f>
        <v/>
      </c>
      <c r="E2072" s="8">
        <f>IFERROR(__xludf.DUMMYFUNCTION("GOOGLETRANSLATE(B2104, ""zh"", ""vi"")"),"#VALUE!")</f>
        <v/>
      </c>
      <c r="H2072" s="9">
        <f>G2104=B2104</f>
        <v/>
      </c>
    </row>
    <row r="2073">
      <c r="B2073" s="11" t="n"/>
      <c r="C2073" s="8">
        <f>pinyin(B2105)</f>
        <v/>
      </c>
      <c r="E2073" s="8">
        <f>IFERROR(__xludf.DUMMYFUNCTION("GOOGLETRANSLATE(B2105, ""zh"", ""vi"")"),"#VALUE!")</f>
        <v/>
      </c>
      <c r="H2073" s="9">
        <f>G2105=B2105</f>
        <v/>
      </c>
    </row>
    <row r="2074">
      <c r="B2074" s="11" t="n"/>
      <c r="C2074" s="8">
        <f>pinyin(B2106)</f>
        <v/>
      </c>
      <c r="E2074" s="8">
        <f>IFERROR(__xludf.DUMMYFUNCTION("GOOGLETRANSLATE(B2106, ""zh"", ""vi"")"),"#VALUE!")</f>
        <v/>
      </c>
      <c r="H2074" s="9">
        <f>G2106=B2106</f>
        <v/>
      </c>
    </row>
    <row r="2075">
      <c r="B2075" s="11" t="n"/>
      <c r="C2075" s="8">
        <f>pinyin(B2107)</f>
        <v/>
      </c>
      <c r="E2075" s="8">
        <f>IFERROR(__xludf.DUMMYFUNCTION("GOOGLETRANSLATE(B2107, ""zh"", ""vi"")"),"#VALUE!")</f>
        <v/>
      </c>
      <c r="H2075" s="9">
        <f>G2107=B2107</f>
        <v/>
      </c>
    </row>
    <row r="2076">
      <c r="B2076" s="11" t="n"/>
      <c r="C2076" s="8">
        <f>pinyin(B2108)</f>
        <v/>
      </c>
      <c r="E2076" s="8">
        <f>IFERROR(__xludf.DUMMYFUNCTION("GOOGLETRANSLATE(B2108, ""zh"", ""vi"")"),"#VALUE!")</f>
        <v/>
      </c>
      <c r="H2076" s="9">
        <f>G2108=B2108</f>
        <v/>
      </c>
    </row>
    <row r="2077">
      <c r="B2077" s="11" t="n"/>
      <c r="C2077" s="8">
        <f>pinyin(B2109)</f>
        <v/>
      </c>
      <c r="E2077" s="8">
        <f>IFERROR(__xludf.DUMMYFUNCTION("GOOGLETRANSLATE(B2109, ""zh"", ""vi"")"),"#VALUE!")</f>
        <v/>
      </c>
      <c r="H2077" s="9">
        <f>G2109=B2109</f>
        <v/>
      </c>
    </row>
    <row r="2078">
      <c r="B2078" s="11" t="n"/>
      <c r="C2078" s="8">
        <f>pinyin(B2110)</f>
        <v/>
      </c>
      <c r="E2078" s="8">
        <f>IFERROR(__xludf.DUMMYFUNCTION("GOOGLETRANSLATE(B2110, ""zh"", ""vi"")"),"#VALUE!")</f>
        <v/>
      </c>
      <c r="H2078" s="9">
        <f>G2110=B2110</f>
        <v/>
      </c>
    </row>
    <row r="2079">
      <c r="B2079" s="11" t="n"/>
      <c r="C2079" s="8">
        <f>pinyin(B2111)</f>
        <v/>
      </c>
      <c r="E2079" s="8">
        <f>IFERROR(__xludf.DUMMYFUNCTION("GOOGLETRANSLATE(B2111, ""zh"", ""vi"")"),"#VALUE!")</f>
        <v/>
      </c>
      <c r="H2079" s="9">
        <f>G2111=B2111</f>
        <v/>
      </c>
    </row>
    <row r="2080">
      <c r="B2080" s="11" t="n"/>
      <c r="C2080" s="8">
        <f>pinyin(B2112)</f>
        <v/>
      </c>
      <c r="E2080" s="8">
        <f>IFERROR(__xludf.DUMMYFUNCTION("GOOGLETRANSLATE(B2112, ""zh"", ""vi"")"),"#VALUE!")</f>
        <v/>
      </c>
      <c r="H2080" s="9">
        <f>G2112=B2112</f>
        <v/>
      </c>
    </row>
    <row r="2081">
      <c r="B2081" s="11" t="n"/>
      <c r="C2081" s="8">
        <f>pinyin(B2113)</f>
        <v/>
      </c>
      <c r="E2081" s="8">
        <f>IFERROR(__xludf.DUMMYFUNCTION("GOOGLETRANSLATE(B2113, ""zh"", ""vi"")"),"#VALUE!")</f>
        <v/>
      </c>
      <c r="H2081" s="9">
        <f>G2113=B2113</f>
        <v/>
      </c>
    </row>
    <row r="2082">
      <c r="B2082" s="11" t="n"/>
      <c r="C2082" s="8">
        <f>pinyin(B2114)</f>
        <v/>
      </c>
      <c r="E2082" s="8">
        <f>IFERROR(__xludf.DUMMYFUNCTION("GOOGLETRANSLATE(B2114, ""zh"", ""vi"")"),"#VALUE!")</f>
        <v/>
      </c>
      <c r="H2082" s="9">
        <f>G2114=B2114</f>
        <v/>
      </c>
    </row>
    <row r="2083">
      <c r="B2083" s="11" t="n"/>
      <c r="C2083" s="8">
        <f>pinyin(B2115)</f>
        <v/>
      </c>
      <c r="E2083" s="8">
        <f>IFERROR(__xludf.DUMMYFUNCTION("GOOGLETRANSLATE(B2115, ""zh"", ""vi"")"),"#VALUE!")</f>
        <v/>
      </c>
      <c r="H2083" s="9">
        <f>G2115=B2115</f>
        <v/>
      </c>
    </row>
    <row r="2084">
      <c r="B2084" s="11" t="n"/>
      <c r="C2084" s="8">
        <f>pinyin(B2116)</f>
        <v/>
      </c>
      <c r="E2084" s="8">
        <f>IFERROR(__xludf.DUMMYFUNCTION("GOOGLETRANSLATE(B2116, ""zh"", ""vi"")"),"#VALUE!")</f>
        <v/>
      </c>
      <c r="H2084" s="9">
        <f>G2116=B2116</f>
        <v/>
      </c>
    </row>
    <row r="2085">
      <c r="B2085" s="11" t="n"/>
      <c r="C2085" s="8">
        <f>pinyin(B2117)</f>
        <v/>
      </c>
      <c r="E2085" s="8">
        <f>IFERROR(__xludf.DUMMYFUNCTION("GOOGLETRANSLATE(B2117, ""zh"", ""vi"")"),"#VALUE!")</f>
        <v/>
      </c>
      <c r="H2085" s="9">
        <f>G2117=B2117</f>
        <v/>
      </c>
    </row>
    <row r="2086">
      <c r="B2086" s="11" t="n"/>
      <c r="C2086" s="8">
        <f>pinyin(B2118)</f>
        <v/>
      </c>
      <c r="E2086" s="8">
        <f>IFERROR(__xludf.DUMMYFUNCTION("GOOGLETRANSLATE(B2118, ""zh"", ""vi"")"),"#VALUE!")</f>
        <v/>
      </c>
      <c r="H2086" s="9">
        <f>G2118=B2118</f>
        <v/>
      </c>
    </row>
    <row r="2087">
      <c r="B2087" s="11" t="n"/>
      <c r="C2087" s="8">
        <f>pinyin(B2119)</f>
        <v/>
      </c>
      <c r="E2087" s="8">
        <f>IFERROR(__xludf.DUMMYFUNCTION("GOOGLETRANSLATE(B2119, ""zh"", ""vi"")"),"#VALUE!")</f>
        <v/>
      </c>
      <c r="H2087" s="9">
        <f>G2119=B2119</f>
        <v/>
      </c>
    </row>
    <row r="2088">
      <c r="B2088" s="11" t="n"/>
      <c r="C2088" s="8">
        <f>pinyin(B2120)</f>
        <v/>
      </c>
      <c r="E2088" s="8">
        <f>IFERROR(__xludf.DUMMYFUNCTION("GOOGLETRANSLATE(B2120, ""zh"", ""vi"")"),"#VALUE!")</f>
        <v/>
      </c>
      <c r="H2088" s="9">
        <f>G2120=B2120</f>
        <v/>
      </c>
    </row>
    <row r="2089">
      <c r="B2089" s="11" t="n"/>
      <c r="C2089" s="8">
        <f>pinyin(B2121)</f>
        <v/>
      </c>
      <c r="E2089" s="8">
        <f>IFERROR(__xludf.DUMMYFUNCTION("GOOGLETRANSLATE(B2121, ""zh"", ""vi"")"),"#VALUE!")</f>
        <v/>
      </c>
      <c r="H2089" s="9">
        <f>G2121=B2121</f>
        <v/>
      </c>
    </row>
    <row r="2090">
      <c r="B2090" s="11" t="n"/>
      <c r="C2090" s="8">
        <f>pinyin(B2122)</f>
        <v/>
      </c>
      <c r="E2090" s="8">
        <f>IFERROR(__xludf.DUMMYFUNCTION("GOOGLETRANSLATE(B2122, ""zh"", ""vi"")"),"#VALUE!")</f>
        <v/>
      </c>
      <c r="H2090" s="9">
        <f>G2122=B2122</f>
        <v/>
      </c>
    </row>
    <row r="2091">
      <c r="B2091" s="11" t="n"/>
      <c r="C2091" s="8">
        <f>pinyin(B2123)</f>
        <v/>
      </c>
      <c r="E2091" s="8">
        <f>IFERROR(__xludf.DUMMYFUNCTION("GOOGLETRANSLATE(B2123, ""zh"", ""vi"")"),"#VALUE!")</f>
        <v/>
      </c>
      <c r="H2091" s="9">
        <f>G2123=B2123</f>
        <v/>
      </c>
    </row>
    <row r="2092">
      <c r="B2092" s="11" t="n"/>
      <c r="C2092" s="8">
        <f>pinyin(B2124)</f>
        <v/>
      </c>
      <c r="E2092" s="8">
        <f>IFERROR(__xludf.DUMMYFUNCTION("GOOGLETRANSLATE(B2124, ""zh"", ""vi"")"),"#VALUE!")</f>
        <v/>
      </c>
      <c r="H2092" s="9">
        <f>G2124=B2124</f>
        <v/>
      </c>
    </row>
    <row r="2093">
      <c r="B2093" s="11" t="n"/>
      <c r="C2093" s="8">
        <f>pinyin(B2125)</f>
        <v/>
      </c>
      <c r="E2093" s="8">
        <f>IFERROR(__xludf.DUMMYFUNCTION("GOOGLETRANSLATE(B2125, ""zh"", ""vi"")"),"#VALUE!")</f>
        <v/>
      </c>
      <c r="H2093" s="9">
        <f>G2125=B2125</f>
        <v/>
      </c>
    </row>
    <row r="2094">
      <c r="B2094" s="11" t="n"/>
      <c r="C2094" s="8">
        <f>pinyin(B2126)</f>
        <v/>
      </c>
      <c r="E2094" s="8">
        <f>IFERROR(__xludf.DUMMYFUNCTION("GOOGLETRANSLATE(B2126, ""zh"", ""vi"")"),"#VALUE!")</f>
        <v/>
      </c>
      <c r="H2094" s="9">
        <f>G2126=B2126</f>
        <v/>
      </c>
    </row>
    <row r="2095">
      <c r="B2095" s="11" t="n"/>
      <c r="C2095" s="8">
        <f>pinyin(B2127)</f>
        <v/>
      </c>
      <c r="E2095" s="8">
        <f>IFERROR(__xludf.DUMMYFUNCTION("GOOGLETRANSLATE(B2127, ""zh"", ""vi"")"),"#VALUE!")</f>
        <v/>
      </c>
      <c r="H2095" s="9">
        <f>G2127=B2127</f>
        <v/>
      </c>
    </row>
    <row r="2096">
      <c r="B2096" s="11" t="n"/>
      <c r="C2096" s="8">
        <f>pinyin(B2128)</f>
        <v/>
      </c>
      <c r="E2096" s="8">
        <f>IFERROR(__xludf.DUMMYFUNCTION("GOOGLETRANSLATE(B2128, ""zh"", ""vi"")"),"#VALUE!")</f>
        <v/>
      </c>
      <c r="H2096" s="9">
        <f>G2128=B2128</f>
        <v/>
      </c>
    </row>
    <row r="2097">
      <c r="B2097" s="11" t="n"/>
      <c r="C2097" s="8">
        <f>pinyin(B2129)</f>
        <v/>
      </c>
      <c r="E2097" s="8">
        <f>IFERROR(__xludf.DUMMYFUNCTION("GOOGLETRANSLATE(B2129, ""zh"", ""vi"")"),"#VALUE!")</f>
        <v/>
      </c>
      <c r="H2097" s="9">
        <f>G2129=B2129</f>
        <v/>
      </c>
    </row>
    <row r="2098">
      <c r="B2098" s="11" t="n"/>
      <c r="C2098" s="8">
        <f>pinyin(B2130)</f>
        <v/>
      </c>
      <c r="E2098" s="8">
        <f>IFERROR(__xludf.DUMMYFUNCTION("GOOGLETRANSLATE(B2130, ""zh"", ""vi"")"),"#VALUE!")</f>
        <v/>
      </c>
      <c r="H2098" s="9">
        <f>G2130=B2130</f>
        <v/>
      </c>
    </row>
    <row r="2099">
      <c r="B2099" s="11" t="n"/>
      <c r="C2099" s="8">
        <f>pinyin(B2131)</f>
        <v/>
      </c>
      <c r="E2099" s="8">
        <f>IFERROR(__xludf.DUMMYFUNCTION("GOOGLETRANSLATE(B2131, ""zh"", ""vi"")"),"#VALUE!")</f>
        <v/>
      </c>
      <c r="H2099" s="9">
        <f>G2131=B2131</f>
        <v/>
      </c>
    </row>
    <row r="2100">
      <c r="B2100" s="11" t="n"/>
      <c r="C2100" s="8">
        <f>pinyin(B2132)</f>
        <v/>
      </c>
      <c r="E2100" s="8">
        <f>IFERROR(__xludf.DUMMYFUNCTION("GOOGLETRANSLATE(B2132, ""zh"", ""vi"")"),"#VALUE!")</f>
        <v/>
      </c>
      <c r="H2100" s="9">
        <f>G2132=B2132</f>
        <v/>
      </c>
    </row>
    <row r="2101">
      <c r="B2101" s="11" t="n"/>
      <c r="C2101" s="8">
        <f>pinyin(B2133)</f>
        <v/>
      </c>
      <c r="E2101" s="8">
        <f>IFERROR(__xludf.DUMMYFUNCTION("GOOGLETRANSLATE(B2133, ""zh"", ""vi"")"),"#VALUE!")</f>
        <v/>
      </c>
      <c r="H2101" s="9">
        <f>G2133=B2133</f>
        <v/>
      </c>
    </row>
    <row r="2102">
      <c r="B2102" s="11" t="n"/>
      <c r="C2102" s="8">
        <f>pinyin(B2134)</f>
        <v/>
      </c>
      <c r="E2102" s="8">
        <f>IFERROR(__xludf.DUMMYFUNCTION("GOOGLETRANSLATE(B2134, ""zh"", ""vi"")"),"#VALUE!")</f>
        <v/>
      </c>
      <c r="H2102" s="9">
        <f>G2134=B2134</f>
        <v/>
      </c>
    </row>
    <row r="2103">
      <c r="B2103" s="11" t="n"/>
      <c r="C2103" s="8">
        <f>pinyin(B2135)</f>
        <v/>
      </c>
      <c r="E2103" s="8">
        <f>IFERROR(__xludf.DUMMYFUNCTION("GOOGLETRANSLATE(B2135, ""zh"", ""vi"")"),"#VALUE!")</f>
        <v/>
      </c>
      <c r="H2103" s="9">
        <f>G2135=B2135</f>
        <v/>
      </c>
    </row>
    <row r="2104">
      <c r="B2104" s="11" t="n"/>
      <c r="C2104" s="8">
        <f>pinyin(B2136)</f>
        <v/>
      </c>
      <c r="E2104" s="8">
        <f>IFERROR(__xludf.DUMMYFUNCTION("GOOGLETRANSLATE(B2136, ""zh"", ""vi"")"),"#VALUE!")</f>
        <v/>
      </c>
      <c r="H2104" s="9">
        <f>G2136=B2136</f>
        <v/>
      </c>
    </row>
    <row r="2105">
      <c r="B2105" s="11" t="n"/>
      <c r="C2105" s="8">
        <f>pinyin(B2137)</f>
        <v/>
      </c>
      <c r="E2105" s="8">
        <f>IFERROR(__xludf.DUMMYFUNCTION("GOOGLETRANSLATE(B2137, ""zh"", ""vi"")"),"#VALUE!")</f>
        <v/>
      </c>
      <c r="H2105" s="9">
        <f>G2137=B2137</f>
        <v/>
      </c>
    </row>
    <row r="2106">
      <c r="B2106" s="11" t="n"/>
      <c r="C2106" s="8">
        <f>pinyin(B2138)</f>
        <v/>
      </c>
      <c r="E2106" s="8">
        <f>IFERROR(__xludf.DUMMYFUNCTION("GOOGLETRANSLATE(B2138, ""zh"", ""vi"")"),"#VALUE!")</f>
        <v/>
      </c>
      <c r="H2106" s="9">
        <f>G2138=B2138</f>
        <v/>
      </c>
    </row>
    <row r="2107">
      <c r="B2107" s="11" t="n"/>
      <c r="C2107" s="8">
        <f>pinyin(B2139)</f>
        <v/>
      </c>
      <c r="E2107" s="8">
        <f>IFERROR(__xludf.DUMMYFUNCTION("GOOGLETRANSLATE(B2139, ""zh"", ""vi"")"),"#VALUE!")</f>
        <v/>
      </c>
      <c r="H2107" s="9">
        <f>G2139=B2139</f>
        <v/>
      </c>
    </row>
    <row r="2108">
      <c r="B2108" s="11" t="n"/>
      <c r="C2108" s="8">
        <f>pinyin(B2140)</f>
        <v/>
      </c>
      <c r="E2108" s="8">
        <f>IFERROR(__xludf.DUMMYFUNCTION("GOOGLETRANSLATE(B2140, ""zh"", ""vi"")"),"#VALUE!")</f>
        <v/>
      </c>
      <c r="H2108" s="9">
        <f>G2140=B2140</f>
        <v/>
      </c>
    </row>
    <row r="2109">
      <c r="B2109" s="11" t="n"/>
      <c r="C2109" s="8">
        <f>pinyin(B2141)</f>
        <v/>
      </c>
      <c r="E2109" s="8">
        <f>IFERROR(__xludf.DUMMYFUNCTION("GOOGLETRANSLATE(B2141, ""zh"", ""vi"")"),"#VALUE!")</f>
        <v/>
      </c>
      <c r="H2109" s="9">
        <f>G2141=B2141</f>
        <v/>
      </c>
    </row>
    <row r="2110">
      <c r="B2110" s="11" t="n"/>
      <c r="C2110" s="8">
        <f>pinyin(B2142)</f>
        <v/>
      </c>
      <c r="E2110" s="8">
        <f>IFERROR(__xludf.DUMMYFUNCTION("GOOGLETRANSLATE(B2142, ""zh"", ""vi"")"),"#VALUE!")</f>
        <v/>
      </c>
      <c r="H2110" s="9">
        <f>G2142=B2142</f>
        <v/>
      </c>
    </row>
    <row r="2111">
      <c r="B2111" s="11" t="n"/>
      <c r="C2111" s="8">
        <f>pinyin(B2143)</f>
        <v/>
      </c>
      <c r="E2111" s="8">
        <f>IFERROR(__xludf.DUMMYFUNCTION("GOOGLETRANSLATE(B2143, ""zh"", ""vi"")"),"#VALUE!")</f>
        <v/>
      </c>
      <c r="H2111" s="9">
        <f>G2143=B2143</f>
        <v/>
      </c>
    </row>
    <row r="2112">
      <c r="B2112" s="11" t="n"/>
      <c r="C2112" s="8">
        <f>pinyin(B2144)</f>
        <v/>
      </c>
      <c r="E2112" s="8">
        <f>IFERROR(__xludf.DUMMYFUNCTION("GOOGLETRANSLATE(B2144, ""zh"", ""vi"")"),"#VALUE!")</f>
        <v/>
      </c>
      <c r="H2112" s="9">
        <f>G2144=B2144</f>
        <v/>
      </c>
    </row>
    <row r="2113">
      <c r="B2113" s="11" t="n"/>
      <c r="C2113" s="8">
        <f>pinyin(B2145)</f>
        <v/>
      </c>
      <c r="E2113" s="8">
        <f>IFERROR(__xludf.DUMMYFUNCTION("GOOGLETRANSLATE(B2145, ""zh"", ""vi"")"),"#VALUE!")</f>
        <v/>
      </c>
      <c r="H2113" s="9">
        <f>G2145=B2145</f>
        <v/>
      </c>
    </row>
    <row r="2114">
      <c r="B2114" s="11" t="n"/>
      <c r="C2114" s="8">
        <f>pinyin(B2146)</f>
        <v/>
      </c>
      <c r="E2114" s="8">
        <f>IFERROR(__xludf.DUMMYFUNCTION("GOOGLETRANSLATE(B2146, ""zh"", ""vi"")"),"#VALUE!")</f>
        <v/>
      </c>
      <c r="H2114" s="9">
        <f>G2146=B2146</f>
        <v/>
      </c>
    </row>
    <row r="2115">
      <c r="B2115" s="11" t="n"/>
      <c r="C2115" s="8">
        <f>pinyin(B2147)</f>
        <v/>
      </c>
      <c r="E2115" s="8">
        <f>IFERROR(__xludf.DUMMYFUNCTION("GOOGLETRANSLATE(B2147, ""zh"", ""vi"")"),"#VALUE!")</f>
        <v/>
      </c>
      <c r="H2115" s="9">
        <f>G2147=B2147</f>
        <v/>
      </c>
    </row>
    <row r="2116">
      <c r="B2116" s="11" t="n"/>
      <c r="C2116" s="8">
        <f>pinyin(B2148)</f>
        <v/>
      </c>
      <c r="E2116" s="8">
        <f>IFERROR(__xludf.DUMMYFUNCTION("GOOGLETRANSLATE(B2148, ""zh"", ""vi"")"),"#VALUE!")</f>
        <v/>
      </c>
      <c r="H2116" s="9">
        <f>G2148=B2148</f>
        <v/>
      </c>
    </row>
    <row r="2117">
      <c r="B2117" s="11" t="n"/>
      <c r="C2117" s="8">
        <f>pinyin(B2149)</f>
        <v/>
      </c>
      <c r="E2117" s="8">
        <f>IFERROR(__xludf.DUMMYFUNCTION("GOOGLETRANSLATE(B2149, ""zh"", ""vi"")"),"#VALUE!")</f>
        <v/>
      </c>
      <c r="H2117" s="9">
        <f>G2149=B2149</f>
        <v/>
      </c>
    </row>
    <row r="2118">
      <c r="B2118" s="11" t="n"/>
      <c r="C2118" s="8">
        <f>pinyin(B2150)</f>
        <v/>
      </c>
      <c r="E2118" s="8">
        <f>IFERROR(__xludf.DUMMYFUNCTION("GOOGLETRANSLATE(B2150, ""zh"", ""vi"")"),"#VALUE!")</f>
        <v/>
      </c>
      <c r="H2118" s="9">
        <f>G2150=B2150</f>
        <v/>
      </c>
    </row>
    <row r="2119">
      <c r="B2119" s="11" t="n"/>
      <c r="C2119" s="8">
        <f>pinyin(B2151)</f>
        <v/>
      </c>
      <c r="E2119" s="8">
        <f>IFERROR(__xludf.DUMMYFUNCTION("GOOGLETRANSLATE(B2151, ""zh"", ""vi"")"),"#VALUE!")</f>
        <v/>
      </c>
      <c r="H2119" s="9">
        <f>G2151=B2151</f>
        <v/>
      </c>
    </row>
    <row r="2120">
      <c r="B2120" s="11" t="n"/>
      <c r="C2120" s="8">
        <f>pinyin(B2152)</f>
        <v/>
      </c>
      <c r="E2120" s="8">
        <f>IFERROR(__xludf.DUMMYFUNCTION("GOOGLETRANSLATE(B2152, ""zh"", ""vi"")"),"#VALUE!")</f>
        <v/>
      </c>
      <c r="H2120" s="9">
        <f>G2152=B2152</f>
        <v/>
      </c>
    </row>
    <row r="2121">
      <c r="B2121" s="11" t="n"/>
      <c r="C2121" s="8">
        <f>pinyin(B2153)</f>
        <v/>
      </c>
      <c r="E2121" s="8">
        <f>IFERROR(__xludf.DUMMYFUNCTION("GOOGLETRANSLATE(B2153, ""zh"", ""vi"")"),"#VALUE!")</f>
        <v/>
      </c>
      <c r="H2121" s="9">
        <f>G2153=B2153</f>
        <v/>
      </c>
    </row>
    <row r="2122">
      <c r="B2122" s="11" t="n"/>
      <c r="C2122" s="8">
        <f>pinyin(B2154)</f>
        <v/>
      </c>
      <c r="E2122" s="8">
        <f>IFERROR(__xludf.DUMMYFUNCTION("GOOGLETRANSLATE(B2154, ""zh"", ""vi"")"),"#VALUE!")</f>
        <v/>
      </c>
      <c r="H2122" s="9">
        <f>G2154=B2154</f>
        <v/>
      </c>
    </row>
    <row r="2123">
      <c r="B2123" s="11" t="n"/>
      <c r="C2123" s="8">
        <f>pinyin(B2155)</f>
        <v/>
      </c>
      <c r="E2123" s="8">
        <f>IFERROR(__xludf.DUMMYFUNCTION("GOOGLETRANSLATE(B2155, ""zh"", ""vi"")"),"#VALUE!")</f>
        <v/>
      </c>
      <c r="H2123" s="9">
        <f>G2155=B2155</f>
        <v/>
      </c>
    </row>
    <row r="2124">
      <c r="B2124" s="11" t="n"/>
      <c r="C2124" s="8">
        <f>pinyin(B2156)</f>
        <v/>
      </c>
      <c r="E2124" s="8">
        <f>IFERROR(__xludf.DUMMYFUNCTION("GOOGLETRANSLATE(B2156, ""zh"", ""vi"")"),"#VALUE!")</f>
        <v/>
      </c>
      <c r="H2124" s="9">
        <f>G2156=B2156</f>
        <v/>
      </c>
    </row>
    <row r="2125">
      <c r="B2125" s="11" t="n"/>
      <c r="C2125" s="8">
        <f>pinyin(B2157)</f>
        <v/>
      </c>
      <c r="E2125" s="8">
        <f>IFERROR(__xludf.DUMMYFUNCTION("GOOGLETRANSLATE(B2157, ""zh"", ""vi"")"),"#VALUE!")</f>
        <v/>
      </c>
      <c r="H2125" s="9">
        <f>G2157=B2157</f>
        <v/>
      </c>
    </row>
    <row r="2126">
      <c r="B2126" s="11" t="n"/>
      <c r="C2126" s="8">
        <f>pinyin(B2158)</f>
        <v/>
      </c>
      <c r="E2126" s="8">
        <f>IFERROR(__xludf.DUMMYFUNCTION("GOOGLETRANSLATE(B2158, ""zh"", ""vi"")"),"#VALUE!")</f>
        <v/>
      </c>
      <c r="H2126" s="9">
        <f>G2158=B2158</f>
        <v/>
      </c>
    </row>
    <row r="2127">
      <c r="B2127" s="11" t="n"/>
      <c r="C2127" s="8">
        <f>pinyin(B2159)</f>
        <v/>
      </c>
      <c r="E2127" s="8">
        <f>IFERROR(__xludf.DUMMYFUNCTION("GOOGLETRANSLATE(B2159, ""zh"", ""vi"")"),"#VALUE!")</f>
        <v/>
      </c>
      <c r="H2127" s="9">
        <f>G2159=B2159</f>
        <v/>
      </c>
    </row>
    <row r="2128">
      <c r="B2128" s="11" t="n"/>
      <c r="C2128" s="8">
        <f>pinyin(B2160)</f>
        <v/>
      </c>
      <c r="E2128" s="8">
        <f>IFERROR(__xludf.DUMMYFUNCTION("GOOGLETRANSLATE(B2160, ""zh"", ""vi"")"),"#VALUE!")</f>
        <v/>
      </c>
      <c r="H2128" s="9">
        <f>G2160=B2160</f>
        <v/>
      </c>
    </row>
    <row r="2129">
      <c r="B2129" s="11" t="n"/>
      <c r="C2129" s="8">
        <f>pinyin(B2161)</f>
        <v/>
      </c>
      <c r="E2129" s="8">
        <f>IFERROR(__xludf.DUMMYFUNCTION("GOOGLETRANSLATE(B2161, ""zh"", ""vi"")"),"#VALUE!")</f>
        <v/>
      </c>
      <c r="H2129" s="9">
        <f>G2161=B2161</f>
        <v/>
      </c>
    </row>
    <row r="2130">
      <c r="B2130" s="11" t="n"/>
      <c r="C2130" s="8">
        <f>pinyin(B2162)</f>
        <v/>
      </c>
      <c r="E2130" s="8">
        <f>IFERROR(__xludf.DUMMYFUNCTION("GOOGLETRANSLATE(B2162, ""zh"", ""vi"")"),"#VALUE!")</f>
        <v/>
      </c>
      <c r="H2130" s="9">
        <f>G2162=B2162</f>
        <v/>
      </c>
    </row>
    <row r="2131">
      <c r="B2131" s="11" t="n"/>
      <c r="C2131" s="8">
        <f>pinyin(B2163)</f>
        <v/>
      </c>
      <c r="E2131" s="8">
        <f>IFERROR(__xludf.DUMMYFUNCTION("GOOGLETRANSLATE(B2163, ""zh"", ""vi"")"),"#VALUE!")</f>
        <v/>
      </c>
      <c r="H2131" s="9">
        <f>G2163=B2163</f>
        <v/>
      </c>
    </row>
    <row r="2132">
      <c r="B2132" s="11" t="n"/>
      <c r="C2132" s="8">
        <f>pinyin(B2164)</f>
        <v/>
      </c>
      <c r="E2132" s="8">
        <f>IFERROR(__xludf.DUMMYFUNCTION("GOOGLETRANSLATE(B2164, ""zh"", ""vi"")"),"#VALUE!")</f>
        <v/>
      </c>
      <c r="H2132" s="9">
        <f>G2164=B2164</f>
        <v/>
      </c>
    </row>
    <row r="2133">
      <c r="B2133" s="11" t="n"/>
      <c r="C2133" s="8">
        <f>pinyin(B2165)</f>
        <v/>
      </c>
      <c r="E2133" s="8">
        <f>IFERROR(__xludf.DUMMYFUNCTION("GOOGLETRANSLATE(B2165, ""zh"", ""vi"")"),"#VALUE!")</f>
        <v/>
      </c>
      <c r="H2133" s="9">
        <f>G2165=B2165</f>
        <v/>
      </c>
    </row>
    <row r="2134">
      <c r="B2134" s="11" t="n"/>
      <c r="C2134" s="8">
        <f>pinyin(B2166)</f>
        <v/>
      </c>
      <c r="E2134" s="8">
        <f>IFERROR(__xludf.DUMMYFUNCTION("GOOGLETRANSLATE(B2166, ""zh"", ""vi"")"),"#VALUE!")</f>
        <v/>
      </c>
      <c r="H2134" s="9">
        <f>G2166=B2166</f>
        <v/>
      </c>
    </row>
    <row r="2135">
      <c r="B2135" s="11" t="n"/>
      <c r="C2135" s="8">
        <f>pinyin(B2167)</f>
        <v/>
      </c>
      <c r="E2135" s="8">
        <f>IFERROR(__xludf.DUMMYFUNCTION("GOOGLETRANSLATE(B2167, ""zh"", ""vi"")"),"#VALUE!")</f>
        <v/>
      </c>
      <c r="H2135" s="9">
        <f>G2167=B2167</f>
        <v/>
      </c>
    </row>
    <row r="2136">
      <c r="B2136" s="11" t="n"/>
      <c r="C2136" s="8">
        <f>pinyin(B2168)</f>
        <v/>
      </c>
      <c r="E2136" s="8">
        <f>IFERROR(__xludf.DUMMYFUNCTION("GOOGLETRANSLATE(B2168, ""zh"", ""vi"")"),"#VALUE!")</f>
        <v/>
      </c>
      <c r="H2136" s="9">
        <f>G2168=B2168</f>
        <v/>
      </c>
    </row>
    <row r="2137">
      <c r="B2137" s="11" t="n"/>
      <c r="C2137" s="8">
        <f>pinyin(B2169)</f>
        <v/>
      </c>
      <c r="E2137" s="8">
        <f>IFERROR(__xludf.DUMMYFUNCTION("GOOGLETRANSLATE(B2169, ""zh"", ""vi"")"),"#VALUE!")</f>
        <v/>
      </c>
      <c r="H2137" s="9">
        <f>G2169=B2169</f>
        <v/>
      </c>
    </row>
    <row r="2138">
      <c r="B2138" s="11" t="n"/>
      <c r="C2138" s="8">
        <f>pinyin(B2170)</f>
        <v/>
      </c>
      <c r="E2138" s="8">
        <f>IFERROR(__xludf.DUMMYFUNCTION("GOOGLETRANSLATE(B2170, ""zh"", ""vi"")"),"#VALUE!")</f>
        <v/>
      </c>
      <c r="H2138" s="9">
        <f>G2170=B2170</f>
        <v/>
      </c>
    </row>
    <row r="2139">
      <c r="B2139" s="11" t="n"/>
      <c r="C2139" s="8">
        <f>pinyin(B2171)</f>
        <v/>
      </c>
      <c r="E2139" s="8">
        <f>IFERROR(__xludf.DUMMYFUNCTION("GOOGLETRANSLATE(B2171, ""zh"", ""vi"")"),"#VALUE!")</f>
        <v/>
      </c>
      <c r="H2139" s="9">
        <f>G2171=B2171</f>
        <v/>
      </c>
    </row>
    <row r="2140">
      <c r="B2140" s="11" t="n"/>
      <c r="C2140" s="8">
        <f>pinyin(B2172)</f>
        <v/>
      </c>
      <c r="E2140" s="8">
        <f>IFERROR(__xludf.DUMMYFUNCTION("GOOGLETRANSLATE(B2172, ""zh"", ""vi"")"),"#VALUE!")</f>
        <v/>
      </c>
      <c r="H2140" s="9">
        <f>G2172=B2172</f>
        <v/>
      </c>
    </row>
    <row r="2141">
      <c r="B2141" s="11" t="n"/>
      <c r="C2141" s="8">
        <f>pinyin(B2173)</f>
        <v/>
      </c>
      <c r="E2141" s="8">
        <f>IFERROR(__xludf.DUMMYFUNCTION("GOOGLETRANSLATE(B2173, ""zh"", ""vi"")"),"#VALUE!")</f>
        <v/>
      </c>
      <c r="H2141" s="9">
        <f>G2173=B2173</f>
        <v/>
      </c>
    </row>
    <row r="2142">
      <c r="B2142" s="11" t="n"/>
      <c r="C2142" s="8">
        <f>pinyin(B2174)</f>
        <v/>
      </c>
      <c r="E2142" s="8">
        <f>IFERROR(__xludf.DUMMYFUNCTION("GOOGLETRANSLATE(B2174, ""zh"", ""vi"")"),"#VALUE!")</f>
        <v/>
      </c>
      <c r="H2142" s="9">
        <f>G2174=B2174</f>
        <v/>
      </c>
    </row>
    <row r="2143">
      <c r="B2143" s="11" t="n"/>
      <c r="C2143" s="8">
        <f>pinyin(B2175)</f>
        <v/>
      </c>
      <c r="E2143" s="8">
        <f>IFERROR(__xludf.DUMMYFUNCTION("GOOGLETRANSLATE(B2175, ""zh"", ""vi"")"),"#VALUE!")</f>
        <v/>
      </c>
      <c r="H2143" s="9">
        <f>G2175=B2175</f>
        <v/>
      </c>
    </row>
    <row r="2144">
      <c r="B2144" s="11" t="n"/>
      <c r="C2144" s="8">
        <f>pinyin(B2176)</f>
        <v/>
      </c>
      <c r="E2144" s="8">
        <f>IFERROR(__xludf.DUMMYFUNCTION("GOOGLETRANSLATE(B2176, ""zh"", ""vi"")"),"#VALUE!")</f>
        <v/>
      </c>
      <c r="H2144" s="9">
        <f>G2176=B2176</f>
        <v/>
      </c>
    </row>
    <row r="2145">
      <c r="B2145" s="11" t="n"/>
      <c r="C2145" s="8">
        <f>pinyin(B2177)</f>
        <v/>
      </c>
      <c r="E2145" s="8">
        <f>IFERROR(__xludf.DUMMYFUNCTION("GOOGLETRANSLATE(B2177, ""zh"", ""vi"")"),"#VALUE!")</f>
        <v/>
      </c>
      <c r="H2145" s="9">
        <f>G2177=B2177</f>
        <v/>
      </c>
    </row>
    <row r="2146">
      <c r="B2146" s="11" t="n"/>
      <c r="C2146" s="8">
        <f>pinyin(B2178)</f>
        <v/>
      </c>
      <c r="E2146" s="8">
        <f>IFERROR(__xludf.DUMMYFUNCTION("GOOGLETRANSLATE(B2178, ""zh"", ""vi"")"),"#VALUE!")</f>
        <v/>
      </c>
      <c r="H2146" s="9">
        <f>G2178=B2178</f>
        <v/>
      </c>
    </row>
    <row r="2147">
      <c r="B2147" s="11" t="n"/>
      <c r="C2147" s="8">
        <f>pinyin(B2179)</f>
        <v/>
      </c>
      <c r="E2147" s="8">
        <f>IFERROR(__xludf.DUMMYFUNCTION("GOOGLETRANSLATE(B2179, ""zh"", ""vi"")"),"#VALUE!")</f>
        <v/>
      </c>
      <c r="H2147" s="9">
        <f>G2179=B2179</f>
        <v/>
      </c>
    </row>
    <row r="2148">
      <c r="B2148" s="11" t="n"/>
      <c r="C2148" s="8">
        <f>pinyin(B2180)</f>
        <v/>
      </c>
      <c r="E2148" s="8">
        <f>IFERROR(__xludf.DUMMYFUNCTION("GOOGLETRANSLATE(B2180, ""zh"", ""vi"")"),"#VALUE!")</f>
        <v/>
      </c>
      <c r="H2148" s="9">
        <f>G2180=B2180</f>
        <v/>
      </c>
    </row>
    <row r="2149">
      <c r="B2149" s="11" t="n"/>
      <c r="C2149" s="8">
        <f>pinyin(B2181)</f>
        <v/>
      </c>
      <c r="E2149" s="8">
        <f>IFERROR(__xludf.DUMMYFUNCTION("GOOGLETRANSLATE(B2181, ""zh"", ""vi"")"),"#VALUE!")</f>
        <v/>
      </c>
      <c r="H2149" s="9">
        <f>G2181=B2181</f>
        <v/>
      </c>
    </row>
    <row r="2150">
      <c r="B2150" s="11" t="n"/>
      <c r="C2150" s="8">
        <f>pinyin(B2182)</f>
        <v/>
      </c>
      <c r="E2150" s="8">
        <f>IFERROR(__xludf.DUMMYFUNCTION("GOOGLETRANSLATE(B2182, ""zh"", ""vi"")"),"#VALUE!")</f>
        <v/>
      </c>
      <c r="H2150" s="9">
        <f>G2182=B2182</f>
        <v/>
      </c>
    </row>
    <row r="2151">
      <c r="B2151" s="11" t="n"/>
      <c r="C2151" s="8">
        <f>pinyin(B2183)</f>
        <v/>
      </c>
      <c r="E2151" s="8">
        <f>IFERROR(__xludf.DUMMYFUNCTION("GOOGLETRANSLATE(B2183, ""zh"", ""vi"")"),"#VALUE!")</f>
        <v/>
      </c>
      <c r="H2151" s="9">
        <f>G2183=B2183</f>
        <v/>
      </c>
    </row>
    <row r="2152">
      <c r="B2152" s="11" t="n"/>
      <c r="C2152" s="8">
        <f>pinyin(B2184)</f>
        <v/>
      </c>
      <c r="E2152" s="8">
        <f>IFERROR(__xludf.DUMMYFUNCTION("GOOGLETRANSLATE(B2184, ""zh"", ""vi"")"),"#VALUE!")</f>
        <v/>
      </c>
      <c r="H2152" s="9">
        <f>G2184=B2184</f>
        <v/>
      </c>
    </row>
    <row r="2153">
      <c r="B2153" s="11" t="n"/>
      <c r="C2153" s="8">
        <f>pinyin(B2185)</f>
        <v/>
      </c>
      <c r="E2153" s="8">
        <f>IFERROR(__xludf.DUMMYFUNCTION("GOOGLETRANSLATE(B2185, ""zh"", ""vi"")"),"#VALUE!")</f>
        <v/>
      </c>
      <c r="H2153" s="9">
        <f>G2185=B2185</f>
        <v/>
      </c>
    </row>
    <row r="2154">
      <c r="B2154" s="11" t="n"/>
      <c r="C2154" s="8">
        <f>pinyin(B2186)</f>
        <v/>
      </c>
      <c r="E2154" s="8">
        <f>IFERROR(__xludf.DUMMYFUNCTION("GOOGLETRANSLATE(B2186, ""zh"", ""vi"")"),"#VALUE!")</f>
        <v/>
      </c>
      <c r="H2154" s="9">
        <f>G2186=B2186</f>
        <v/>
      </c>
    </row>
    <row r="2155">
      <c r="B2155" s="11" t="n"/>
      <c r="C2155" s="8">
        <f>pinyin(B2187)</f>
        <v/>
      </c>
      <c r="E2155" s="8">
        <f>IFERROR(__xludf.DUMMYFUNCTION("GOOGLETRANSLATE(B2187, ""zh"", ""vi"")"),"#VALUE!")</f>
        <v/>
      </c>
      <c r="H2155" s="9">
        <f>G2187=B2187</f>
        <v/>
      </c>
    </row>
    <row r="2156">
      <c r="B2156" s="11" t="n"/>
      <c r="C2156" s="8">
        <f>pinyin(B2188)</f>
        <v/>
      </c>
      <c r="E2156" s="8">
        <f>IFERROR(__xludf.DUMMYFUNCTION("GOOGLETRANSLATE(B2188, ""zh"", ""vi"")"),"#VALUE!")</f>
        <v/>
      </c>
      <c r="H2156" s="9">
        <f>G2188=B2188</f>
        <v/>
      </c>
    </row>
    <row r="2157">
      <c r="B2157" s="11" t="n"/>
      <c r="C2157" s="8">
        <f>pinyin(B2189)</f>
        <v/>
      </c>
      <c r="E2157" s="8">
        <f>IFERROR(__xludf.DUMMYFUNCTION("GOOGLETRANSLATE(B2189, ""zh"", ""vi"")"),"#VALUE!")</f>
        <v/>
      </c>
      <c r="H2157" s="9">
        <f>G2189=B2189</f>
        <v/>
      </c>
    </row>
    <row r="2158">
      <c r="B2158" s="11" t="n"/>
      <c r="C2158" s="8">
        <f>pinyin(B2190)</f>
        <v/>
      </c>
      <c r="E2158" s="8">
        <f>IFERROR(__xludf.DUMMYFUNCTION("GOOGLETRANSLATE(B2190, ""zh"", ""vi"")"),"#VALUE!")</f>
        <v/>
      </c>
      <c r="H2158" s="9">
        <f>G2190=B2190</f>
        <v/>
      </c>
    </row>
    <row r="2159">
      <c r="B2159" s="11" t="n"/>
      <c r="C2159" s="8">
        <f>pinyin(B2191)</f>
        <v/>
      </c>
      <c r="E2159" s="8">
        <f>IFERROR(__xludf.DUMMYFUNCTION("GOOGLETRANSLATE(B2191, ""zh"", ""vi"")"),"#VALUE!")</f>
        <v/>
      </c>
      <c r="H2159" s="9">
        <f>G2191=B2191</f>
        <v/>
      </c>
    </row>
    <row r="2160">
      <c r="B2160" s="11" t="n"/>
      <c r="C2160" s="8">
        <f>pinyin(B2192)</f>
        <v/>
      </c>
      <c r="E2160" s="8">
        <f>IFERROR(__xludf.DUMMYFUNCTION("GOOGLETRANSLATE(B2192, ""zh"", ""vi"")"),"#VALUE!")</f>
        <v/>
      </c>
      <c r="H2160" s="9">
        <f>G2192=B2192</f>
        <v/>
      </c>
    </row>
    <row r="2161">
      <c r="B2161" s="11" t="n"/>
      <c r="C2161" s="8">
        <f>pinyin(B2193)</f>
        <v/>
      </c>
      <c r="E2161" s="8">
        <f>IFERROR(__xludf.DUMMYFUNCTION("GOOGLETRANSLATE(B2193, ""zh"", ""vi"")"),"#VALUE!")</f>
        <v/>
      </c>
      <c r="H2161" s="9">
        <f>G2193=B2193</f>
        <v/>
      </c>
    </row>
    <row r="2162">
      <c r="B2162" s="11" t="n"/>
      <c r="C2162" s="8">
        <f>pinyin(B2194)</f>
        <v/>
      </c>
      <c r="E2162" s="8">
        <f>IFERROR(__xludf.DUMMYFUNCTION("GOOGLETRANSLATE(B2194, ""zh"", ""vi"")"),"#VALUE!")</f>
        <v/>
      </c>
      <c r="H2162" s="9">
        <f>G2194=B2194</f>
        <v/>
      </c>
    </row>
    <row r="2163">
      <c r="B2163" s="11" t="n"/>
      <c r="C2163" s="8">
        <f>pinyin(B2195)</f>
        <v/>
      </c>
      <c r="E2163" s="8">
        <f>IFERROR(__xludf.DUMMYFUNCTION("GOOGLETRANSLATE(B2195, ""zh"", ""vi"")"),"#VALUE!")</f>
        <v/>
      </c>
      <c r="H2163" s="9">
        <f>G2195=B2195</f>
        <v/>
      </c>
    </row>
    <row r="2164">
      <c r="B2164" s="11" t="n"/>
      <c r="C2164" s="8">
        <f>pinyin(B2196)</f>
        <v/>
      </c>
      <c r="E2164" s="8">
        <f>IFERROR(__xludf.DUMMYFUNCTION("GOOGLETRANSLATE(B2196, ""zh"", ""vi"")"),"#VALUE!")</f>
        <v/>
      </c>
      <c r="H2164" s="9">
        <f>G2196=B2196</f>
        <v/>
      </c>
    </row>
    <row r="2165">
      <c r="B2165" s="11" t="n"/>
      <c r="C2165" s="8">
        <f>pinyin(B2197)</f>
        <v/>
      </c>
      <c r="E2165" s="8">
        <f>IFERROR(__xludf.DUMMYFUNCTION("GOOGLETRANSLATE(B2197, ""zh"", ""vi"")"),"#VALUE!")</f>
        <v/>
      </c>
      <c r="H2165" s="9">
        <f>G2197=B2197</f>
        <v/>
      </c>
    </row>
    <row r="2166">
      <c r="B2166" s="11" t="n"/>
      <c r="C2166" s="8">
        <f>pinyin(B2198)</f>
        <v/>
      </c>
      <c r="E2166" s="8">
        <f>IFERROR(__xludf.DUMMYFUNCTION("GOOGLETRANSLATE(B2198, ""zh"", ""vi"")"),"#VALUE!")</f>
        <v/>
      </c>
      <c r="H2166" s="9">
        <f>G2198=B2198</f>
        <v/>
      </c>
    </row>
    <row r="2167">
      <c r="B2167" s="11" t="n"/>
      <c r="C2167" s="8">
        <f>pinyin(B2199)</f>
        <v/>
      </c>
      <c r="E2167" s="8">
        <f>IFERROR(__xludf.DUMMYFUNCTION("GOOGLETRANSLATE(B2199, ""zh"", ""vi"")"),"#VALUE!")</f>
        <v/>
      </c>
      <c r="H2167" s="9">
        <f>G2199=B2199</f>
        <v/>
      </c>
    </row>
    <row r="2168">
      <c r="B2168" s="11" t="n"/>
      <c r="C2168" s="8">
        <f>pinyin(B2200)</f>
        <v/>
      </c>
      <c r="E2168" s="8">
        <f>IFERROR(__xludf.DUMMYFUNCTION("GOOGLETRANSLATE(B2200, ""zh"", ""vi"")"),"#VALUE!")</f>
        <v/>
      </c>
      <c r="H2168" s="9">
        <f>G2200=B2200</f>
        <v/>
      </c>
    </row>
    <row r="2169">
      <c r="B2169" s="11" t="n"/>
      <c r="C2169" s="8">
        <f>pinyin(B2201)</f>
        <v/>
      </c>
      <c r="E2169" s="8">
        <f>IFERROR(__xludf.DUMMYFUNCTION("GOOGLETRANSLATE(B2201, ""zh"", ""vi"")"),"#VALUE!")</f>
        <v/>
      </c>
      <c r="H2169" s="9">
        <f>G2201=B2201</f>
        <v/>
      </c>
    </row>
    <row r="2170">
      <c r="B2170" s="11" t="n"/>
      <c r="C2170" s="8">
        <f>pinyin(B2202)</f>
        <v/>
      </c>
      <c r="E2170" s="8">
        <f>IFERROR(__xludf.DUMMYFUNCTION("GOOGLETRANSLATE(B2202, ""zh"", ""vi"")"),"#VALUE!")</f>
        <v/>
      </c>
      <c r="H2170" s="9">
        <f>G2202=B2202</f>
        <v/>
      </c>
    </row>
    <row r="2171">
      <c r="B2171" s="11" t="n"/>
      <c r="C2171" s="8">
        <f>pinyin(B2203)</f>
        <v/>
      </c>
      <c r="E2171" s="8">
        <f>IFERROR(__xludf.DUMMYFUNCTION("GOOGLETRANSLATE(B2203, ""zh"", ""vi"")"),"#VALUE!")</f>
        <v/>
      </c>
      <c r="H2171" s="9">
        <f>G2203=B2203</f>
        <v/>
      </c>
    </row>
    <row r="2172">
      <c r="B2172" s="11" t="n"/>
      <c r="C2172" s="8">
        <f>pinyin(B2204)</f>
        <v/>
      </c>
      <c r="E2172" s="8">
        <f>IFERROR(__xludf.DUMMYFUNCTION("GOOGLETRANSLATE(B2204, ""zh"", ""vi"")"),"#VALUE!")</f>
        <v/>
      </c>
      <c r="H2172" s="9">
        <f>G2204=B2204</f>
        <v/>
      </c>
    </row>
    <row r="2173">
      <c r="B2173" s="11" t="n"/>
      <c r="C2173" s="8">
        <f>pinyin(B2205)</f>
        <v/>
      </c>
      <c r="E2173" s="8">
        <f>IFERROR(__xludf.DUMMYFUNCTION("GOOGLETRANSLATE(B2205, ""zh"", ""vi"")"),"#VALUE!")</f>
        <v/>
      </c>
      <c r="H2173" s="9">
        <f>G2205=B2205</f>
        <v/>
      </c>
    </row>
    <row r="2174">
      <c r="B2174" s="11" t="n"/>
      <c r="C2174" s="8">
        <f>pinyin(B2206)</f>
        <v/>
      </c>
      <c r="E2174" s="8">
        <f>IFERROR(__xludf.DUMMYFUNCTION("GOOGLETRANSLATE(B2206, ""zh"", ""vi"")"),"#VALUE!")</f>
        <v/>
      </c>
      <c r="H2174" s="9">
        <f>G2206=B2206</f>
        <v/>
      </c>
    </row>
    <row r="2175">
      <c r="B2175" s="11" t="n"/>
      <c r="C2175" s="8">
        <f>pinyin(B2207)</f>
        <v/>
      </c>
      <c r="E2175" s="8">
        <f>IFERROR(__xludf.DUMMYFUNCTION("GOOGLETRANSLATE(B2207, ""zh"", ""vi"")"),"#VALUE!")</f>
        <v/>
      </c>
      <c r="H2175" s="9">
        <f>G2207=B2207</f>
        <v/>
      </c>
    </row>
    <row r="2176">
      <c r="B2176" s="11" t="n"/>
      <c r="C2176" s="8">
        <f>pinyin(B2208)</f>
        <v/>
      </c>
      <c r="E2176" s="8">
        <f>IFERROR(__xludf.DUMMYFUNCTION("GOOGLETRANSLATE(B2208, ""zh"", ""vi"")"),"#VALUE!")</f>
        <v/>
      </c>
      <c r="H2176" s="9">
        <f>G2208=B2208</f>
        <v/>
      </c>
    </row>
    <row r="2177">
      <c r="B2177" s="11" t="n"/>
      <c r="C2177" s="8">
        <f>pinyin(B2209)</f>
        <v/>
      </c>
      <c r="E2177" s="8">
        <f>IFERROR(__xludf.DUMMYFUNCTION("GOOGLETRANSLATE(B2209, ""zh"", ""vi"")"),"#VALUE!")</f>
        <v/>
      </c>
      <c r="H2177" s="9">
        <f>G2209=B2209</f>
        <v/>
      </c>
    </row>
    <row r="2178">
      <c r="B2178" s="11" t="n"/>
      <c r="C2178" s="8">
        <f>pinyin(B2210)</f>
        <v/>
      </c>
      <c r="E2178" s="8">
        <f>IFERROR(__xludf.DUMMYFUNCTION("GOOGLETRANSLATE(B2210, ""zh"", ""vi"")"),"#VALUE!")</f>
        <v/>
      </c>
      <c r="H2178" s="9">
        <f>G2210=B2210</f>
        <v/>
      </c>
    </row>
    <row r="2179">
      <c r="B2179" s="11" t="n"/>
      <c r="C2179" s="8">
        <f>pinyin(B2211)</f>
        <v/>
      </c>
      <c r="E2179" s="8">
        <f>IFERROR(__xludf.DUMMYFUNCTION("GOOGLETRANSLATE(B2211, ""zh"", ""vi"")"),"#VALUE!")</f>
        <v/>
      </c>
      <c r="H2179" s="9">
        <f>G2211=B2211</f>
        <v/>
      </c>
    </row>
    <row r="2180">
      <c r="B2180" s="11" t="n"/>
      <c r="C2180" s="8">
        <f>pinyin(B2212)</f>
        <v/>
      </c>
      <c r="E2180" s="8">
        <f>IFERROR(__xludf.DUMMYFUNCTION("GOOGLETRANSLATE(B2212, ""zh"", ""vi"")"),"#VALUE!")</f>
        <v/>
      </c>
      <c r="H2180" s="9">
        <f>G2212=B2212</f>
        <v/>
      </c>
    </row>
    <row r="2181">
      <c r="B2181" s="11" t="n"/>
      <c r="C2181" s="8">
        <f>pinyin(B2213)</f>
        <v/>
      </c>
      <c r="E2181" s="8">
        <f>IFERROR(__xludf.DUMMYFUNCTION("GOOGLETRANSLATE(B2213, ""zh"", ""vi"")"),"#VALUE!")</f>
        <v/>
      </c>
      <c r="H2181" s="9">
        <f>G2213=B2213</f>
        <v/>
      </c>
    </row>
    <row r="2182">
      <c r="B2182" s="11" t="n"/>
      <c r="C2182" s="8">
        <f>pinyin(B2214)</f>
        <v/>
      </c>
      <c r="E2182" s="8">
        <f>IFERROR(__xludf.DUMMYFUNCTION("GOOGLETRANSLATE(B2214, ""zh"", ""vi"")"),"#VALUE!")</f>
        <v/>
      </c>
      <c r="H2182" s="9">
        <f>G2214=B2214</f>
        <v/>
      </c>
    </row>
    <row r="2183">
      <c r="B2183" s="11" t="n"/>
      <c r="C2183" s="8">
        <f>pinyin(B2215)</f>
        <v/>
      </c>
      <c r="E2183" s="8">
        <f>IFERROR(__xludf.DUMMYFUNCTION("GOOGLETRANSLATE(B2215, ""zh"", ""vi"")"),"#VALUE!")</f>
        <v/>
      </c>
      <c r="H2183" s="9">
        <f>G2215=B2215</f>
        <v/>
      </c>
    </row>
    <row r="2184">
      <c r="B2184" s="11" t="n"/>
      <c r="C2184" s="8">
        <f>pinyin(B2216)</f>
        <v/>
      </c>
      <c r="E2184" s="8">
        <f>IFERROR(__xludf.DUMMYFUNCTION("GOOGLETRANSLATE(B2216, ""zh"", ""vi"")"),"#VALUE!")</f>
        <v/>
      </c>
      <c r="H2184" s="9">
        <f>G2216=B2216</f>
        <v/>
      </c>
    </row>
    <row r="2185">
      <c r="B2185" s="11" t="n"/>
      <c r="C2185" s="8">
        <f>pinyin(B2217)</f>
        <v/>
      </c>
      <c r="E2185" s="8">
        <f>IFERROR(__xludf.DUMMYFUNCTION("GOOGLETRANSLATE(B2217, ""zh"", ""vi"")"),"#VALUE!")</f>
        <v/>
      </c>
      <c r="H2185" s="9">
        <f>G2217=B2217</f>
        <v/>
      </c>
    </row>
    <row r="2186">
      <c r="B2186" s="11" t="n"/>
      <c r="C2186" s="8">
        <f>pinyin(B2218)</f>
        <v/>
      </c>
      <c r="E2186" s="8">
        <f>IFERROR(__xludf.DUMMYFUNCTION("GOOGLETRANSLATE(B2218, ""zh"", ""vi"")"),"#VALUE!")</f>
        <v/>
      </c>
      <c r="H2186" s="9">
        <f>G2218=B2218</f>
        <v/>
      </c>
    </row>
    <row r="2187">
      <c r="B2187" s="11" t="n"/>
      <c r="C2187" s="8">
        <f>pinyin(B2219)</f>
        <v/>
      </c>
      <c r="E2187" s="8">
        <f>IFERROR(__xludf.DUMMYFUNCTION("GOOGLETRANSLATE(B2219, ""zh"", ""vi"")"),"#VALUE!")</f>
        <v/>
      </c>
      <c r="H2187" s="9">
        <f>G2219=B2219</f>
        <v/>
      </c>
    </row>
    <row r="2188">
      <c r="B2188" s="11" t="n"/>
      <c r="C2188" s="8">
        <f>pinyin(B2220)</f>
        <v/>
      </c>
      <c r="E2188" s="8">
        <f>IFERROR(__xludf.DUMMYFUNCTION("GOOGLETRANSLATE(B2220, ""zh"", ""vi"")"),"#VALUE!")</f>
        <v/>
      </c>
      <c r="H2188" s="9">
        <f>G2220=B2220</f>
        <v/>
      </c>
    </row>
    <row r="2189">
      <c r="B2189" s="11" t="n"/>
      <c r="C2189" s="8">
        <f>pinyin(B2221)</f>
        <v/>
      </c>
      <c r="E2189" s="8">
        <f>IFERROR(__xludf.DUMMYFUNCTION("GOOGLETRANSLATE(B2221, ""zh"", ""vi"")"),"#VALUE!")</f>
        <v/>
      </c>
      <c r="H2189" s="9">
        <f>G2221=B2221</f>
        <v/>
      </c>
    </row>
    <row r="2190">
      <c r="B2190" s="11" t="n"/>
      <c r="C2190" s="8">
        <f>pinyin(B2222)</f>
        <v/>
      </c>
      <c r="E2190" s="8">
        <f>IFERROR(__xludf.DUMMYFUNCTION("GOOGLETRANSLATE(B2222, ""zh"", ""vi"")"),"#VALUE!")</f>
        <v/>
      </c>
      <c r="H2190" s="9">
        <f>G2222=B2222</f>
        <v/>
      </c>
    </row>
    <row r="2191">
      <c r="B2191" s="11" t="n"/>
      <c r="C2191" s="8">
        <f>pinyin(B2223)</f>
        <v/>
      </c>
      <c r="E2191" s="8">
        <f>IFERROR(__xludf.DUMMYFUNCTION("GOOGLETRANSLATE(B2223, ""zh"", ""vi"")"),"#VALUE!")</f>
        <v/>
      </c>
      <c r="H2191" s="9">
        <f>G2223=B2223</f>
        <v/>
      </c>
    </row>
    <row r="2192">
      <c r="B2192" s="11" t="n"/>
      <c r="C2192" s="8">
        <f>pinyin(B2224)</f>
        <v/>
      </c>
      <c r="E2192" s="8">
        <f>IFERROR(__xludf.DUMMYFUNCTION("GOOGLETRANSLATE(B2224, ""zh"", ""vi"")"),"#VALUE!")</f>
        <v/>
      </c>
      <c r="H2192" s="9">
        <f>G2224=B2224</f>
        <v/>
      </c>
    </row>
    <row r="2193">
      <c r="B2193" s="11" t="n"/>
      <c r="C2193" s="8">
        <f>pinyin(B2225)</f>
        <v/>
      </c>
      <c r="E2193" s="8">
        <f>IFERROR(__xludf.DUMMYFUNCTION("GOOGLETRANSLATE(B2225, ""zh"", ""vi"")"),"#VALUE!")</f>
        <v/>
      </c>
      <c r="H2193" s="9">
        <f>G2225=B2225</f>
        <v/>
      </c>
    </row>
    <row r="2194">
      <c r="B2194" s="11" t="n"/>
      <c r="C2194" s="8">
        <f>pinyin(B2226)</f>
        <v/>
      </c>
      <c r="E2194" s="8">
        <f>IFERROR(__xludf.DUMMYFUNCTION("GOOGLETRANSLATE(B2226, ""zh"", ""vi"")"),"#VALUE!")</f>
        <v/>
      </c>
      <c r="H2194" s="9">
        <f>G2226=B2226</f>
        <v/>
      </c>
    </row>
    <row r="2195">
      <c r="B2195" s="11" t="n"/>
      <c r="C2195" s="8">
        <f>pinyin(B2227)</f>
        <v/>
      </c>
      <c r="E2195" s="8">
        <f>IFERROR(__xludf.DUMMYFUNCTION("GOOGLETRANSLATE(B2227, ""zh"", ""vi"")"),"#VALUE!")</f>
        <v/>
      </c>
      <c r="H2195" s="9">
        <f>G2227=B2227</f>
        <v/>
      </c>
    </row>
    <row r="2196">
      <c r="B2196" s="11" t="n"/>
      <c r="C2196" s="8">
        <f>pinyin(B2228)</f>
        <v/>
      </c>
      <c r="E2196" s="8">
        <f>IFERROR(__xludf.DUMMYFUNCTION("GOOGLETRANSLATE(B2228, ""zh"", ""vi"")"),"#VALUE!")</f>
        <v/>
      </c>
      <c r="H2196" s="9">
        <f>G2228=B2228</f>
        <v/>
      </c>
    </row>
    <row r="2197">
      <c r="B2197" s="11" t="n"/>
      <c r="C2197" s="8">
        <f>pinyin(B2229)</f>
        <v/>
      </c>
      <c r="E2197" s="8">
        <f>IFERROR(__xludf.DUMMYFUNCTION("GOOGLETRANSLATE(B2229, ""zh"", ""vi"")"),"#VALUE!")</f>
        <v/>
      </c>
      <c r="H2197" s="9">
        <f>G2229=B2229</f>
        <v/>
      </c>
    </row>
    <row r="2198">
      <c r="B2198" s="11" t="n"/>
      <c r="C2198" s="8">
        <f>pinyin(B2230)</f>
        <v/>
      </c>
      <c r="E2198" s="8">
        <f>IFERROR(__xludf.DUMMYFUNCTION("GOOGLETRANSLATE(B2230, ""zh"", ""vi"")"),"#VALUE!")</f>
        <v/>
      </c>
      <c r="H2198" s="9">
        <f>G2230=B2230</f>
        <v/>
      </c>
    </row>
    <row r="2199">
      <c r="B2199" s="11" t="n"/>
      <c r="C2199" s="8">
        <f>pinyin(B2231)</f>
        <v/>
      </c>
      <c r="E2199" s="8">
        <f>IFERROR(__xludf.DUMMYFUNCTION("GOOGLETRANSLATE(B2231, ""zh"", ""vi"")"),"#VALUE!")</f>
        <v/>
      </c>
      <c r="H2199" s="9">
        <f>G2231=B2231</f>
        <v/>
      </c>
    </row>
    <row r="2200">
      <c r="B2200" s="11" t="n"/>
      <c r="C2200" s="8">
        <f>pinyin(B2232)</f>
        <v/>
      </c>
      <c r="E2200" s="8">
        <f>IFERROR(__xludf.DUMMYFUNCTION("GOOGLETRANSLATE(B2232, ""zh"", ""vi"")"),"#VALUE!")</f>
        <v/>
      </c>
      <c r="H2200" s="9">
        <f>G2232=B2232</f>
        <v/>
      </c>
    </row>
    <row r="2201">
      <c r="B2201" s="11" t="n"/>
      <c r="C2201" s="8">
        <f>pinyin(B2233)</f>
        <v/>
      </c>
      <c r="E2201" s="8">
        <f>IFERROR(__xludf.DUMMYFUNCTION("GOOGLETRANSLATE(B2233, ""zh"", ""vi"")"),"#VALUE!")</f>
        <v/>
      </c>
      <c r="H2201" s="9">
        <f>G2233=B2233</f>
        <v/>
      </c>
    </row>
    <row r="2202">
      <c r="B2202" s="11" t="n"/>
      <c r="C2202" s="8">
        <f>pinyin(B2234)</f>
        <v/>
      </c>
      <c r="E2202" s="8">
        <f>IFERROR(__xludf.DUMMYFUNCTION("GOOGLETRANSLATE(B2234, ""zh"", ""vi"")"),"#VALUE!")</f>
        <v/>
      </c>
      <c r="H2202" s="9">
        <f>G2234=B2234</f>
        <v/>
      </c>
    </row>
    <row r="2203">
      <c r="B2203" s="11" t="n"/>
      <c r="C2203" s="8">
        <f>pinyin(B2235)</f>
        <v/>
      </c>
      <c r="E2203" s="8">
        <f>IFERROR(__xludf.DUMMYFUNCTION("GOOGLETRANSLATE(B2235, ""zh"", ""vi"")"),"#VALUE!")</f>
        <v/>
      </c>
      <c r="H2203" s="9">
        <f>G2235=B2235</f>
        <v/>
      </c>
    </row>
    <row r="2204">
      <c r="B2204" s="11" t="n"/>
      <c r="C2204" s="8">
        <f>pinyin(B2236)</f>
        <v/>
      </c>
      <c r="E2204" s="8">
        <f>IFERROR(__xludf.DUMMYFUNCTION("GOOGLETRANSLATE(B2236, ""zh"", ""vi"")"),"#VALUE!")</f>
        <v/>
      </c>
      <c r="H2204" s="9">
        <f>G2236=B2236</f>
        <v/>
      </c>
    </row>
    <row r="2205">
      <c r="B2205" s="11" t="n"/>
      <c r="C2205" s="8">
        <f>pinyin(B2237)</f>
        <v/>
      </c>
      <c r="E2205" s="8">
        <f>IFERROR(__xludf.DUMMYFUNCTION("GOOGLETRANSLATE(B2237, ""zh"", ""vi"")"),"#VALUE!")</f>
        <v/>
      </c>
      <c r="H2205" s="9">
        <f>G2237=B2237</f>
        <v/>
      </c>
    </row>
    <row r="2206">
      <c r="B2206" s="11" t="n"/>
      <c r="C2206" s="8">
        <f>pinyin(B2238)</f>
        <v/>
      </c>
      <c r="E2206" s="8">
        <f>IFERROR(__xludf.DUMMYFUNCTION("GOOGLETRANSLATE(B2238, ""zh"", ""vi"")"),"#VALUE!")</f>
        <v/>
      </c>
      <c r="H2206" s="9">
        <f>G2238=B2238</f>
        <v/>
      </c>
    </row>
    <row r="2207">
      <c r="B2207" s="11" t="n"/>
      <c r="C2207" s="8">
        <f>pinyin(B2239)</f>
        <v/>
      </c>
      <c r="E2207" s="8">
        <f>IFERROR(__xludf.DUMMYFUNCTION("GOOGLETRANSLATE(B2239, ""zh"", ""vi"")"),"#VALUE!")</f>
        <v/>
      </c>
      <c r="H2207" s="9">
        <f>G2239=B2239</f>
        <v/>
      </c>
    </row>
    <row r="2208">
      <c r="B2208" s="11" t="n"/>
      <c r="C2208" s="8">
        <f>pinyin(B2240)</f>
        <v/>
      </c>
      <c r="E2208" s="8">
        <f>IFERROR(__xludf.DUMMYFUNCTION("GOOGLETRANSLATE(B2240, ""zh"", ""vi"")"),"#VALUE!")</f>
        <v/>
      </c>
      <c r="H2208" s="9">
        <f>G2240=B2240</f>
        <v/>
      </c>
    </row>
    <row r="2209">
      <c r="B2209" s="11" t="n"/>
      <c r="C2209" s="8">
        <f>pinyin(B2241)</f>
        <v/>
      </c>
      <c r="E2209" s="8">
        <f>IFERROR(__xludf.DUMMYFUNCTION("GOOGLETRANSLATE(B2241, ""zh"", ""vi"")"),"#VALUE!")</f>
        <v/>
      </c>
      <c r="H2209" s="9">
        <f>G2241=B2241</f>
        <v/>
      </c>
    </row>
    <row r="2210">
      <c r="B2210" s="11" t="n"/>
      <c r="C2210" s="8">
        <f>pinyin(B2242)</f>
        <v/>
      </c>
      <c r="E2210" s="8">
        <f>IFERROR(__xludf.DUMMYFUNCTION("GOOGLETRANSLATE(B2242, ""zh"", ""vi"")"),"#VALUE!")</f>
        <v/>
      </c>
      <c r="H2210" s="9">
        <f>G2242=B2242</f>
        <v/>
      </c>
    </row>
    <row r="2211">
      <c r="B2211" s="11" t="n"/>
      <c r="C2211" s="8">
        <f>pinyin(B2243)</f>
        <v/>
      </c>
      <c r="E2211" s="8">
        <f>IFERROR(__xludf.DUMMYFUNCTION("GOOGLETRANSLATE(B2243, ""zh"", ""vi"")"),"#VALUE!")</f>
        <v/>
      </c>
      <c r="H2211" s="9">
        <f>G2243=B2243</f>
        <v/>
      </c>
    </row>
    <row r="2212">
      <c r="B2212" s="11" t="n"/>
      <c r="C2212" s="8">
        <f>pinyin(B2244)</f>
        <v/>
      </c>
      <c r="E2212" s="8">
        <f>IFERROR(__xludf.DUMMYFUNCTION("GOOGLETRANSLATE(B2244, ""zh"", ""vi"")"),"#VALUE!")</f>
        <v/>
      </c>
      <c r="H2212" s="9">
        <f>G2244=B2244</f>
        <v/>
      </c>
    </row>
    <row r="2213">
      <c r="B2213" s="11" t="n"/>
      <c r="C2213" s="8">
        <f>pinyin(B2245)</f>
        <v/>
      </c>
      <c r="E2213" s="8">
        <f>IFERROR(__xludf.DUMMYFUNCTION("GOOGLETRANSLATE(B2245, ""zh"", ""vi"")"),"#VALUE!")</f>
        <v/>
      </c>
      <c r="H2213" s="9">
        <f>G2245=B2245</f>
        <v/>
      </c>
    </row>
    <row r="2214">
      <c r="B2214" s="11" t="n"/>
      <c r="C2214" s="8">
        <f>pinyin(B2246)</f>
        <v/>
      </c>
      <c r="E2214" s="8">
        <f>IFERROR(__xludf.DUMMYFUNCTION("GOOGLETRANSLATE(B2246, ""zh"", ""vi"")"),"#VALUE!")</f>
        <v/>
      </c>
      <c r="H2214" s="9">
        <f>G2246=B2246</f>
        <v/>
      </c>
    </row>
    <row r="2215">
      <c r="B2215" s="11" t="n"/>
      <c r="C2215" s="8">
        <f>pinyin(B2247)</f>
        <v/>
      </c>
      <c r="E2215" s="8">
        <f>IFERROR(__xludf.DUMMYFUNCTION("GOOGLETRANSLATE(B2247, ""zh"", ""vi"")"),"#VALUE!")</f>
        <v/>
      </c>
      <c r="H2215" s="9">
        <f>G2247=B2247</f>
        <v/>
      </c>
    </row>
    <row r="2216">
      <c r="B2216" s="11" t="n"/>
      <c r="C2216" s="8">
        <f>pinyin(B2248)</f>
        <v/>
      </c>
      <c r="E2216" s="8">
        <f>IFERROR(__xludf.DUMMYFUNCTION("GOOGLETRANSLATE(B2248, ""zh"", ""vi"")"),"#VALUE!")</f>
        <v/>
      </c>
      <c r="H2216" s="9">
        <f>G2248=B2248</f>
        <v/>
      </c>
    </row>
    <row r="2217">
      <c r="B2217" s="11" t="n"/>
      <c r="C2217" s="8">
        <f>pinyin(B2249)</f>
        <v/>
      </c>
      <c r="E2217" s="8">
        <f>IFERROR(__xludf.DUMMYFUNCTION("GOOGLETRANSLATE(B2249, ""zh"", ""vi"")"),"#VALUE!")</f>
        <v/>
      </c>
      <c r="H2217" s="9">
        <f>G2249=B2249</f>
        <v/>
      </c>
    </row>
    <row r="2218">
      <c r="B2218" s="11" t="n"/>
      <c r="C2218" s="8">
        <f>pinyin(B2250)</f>
        <v/>
      </c>
      <c r="E2218" s="8">
        <f>IFERROR(__xludf.DUMMYFUNCTION("GOOGLETRANSLATE(B2250, ""zh"", ""vi"")"),"#VALUE!")</f>
        <v/>
      </c>
      <c r="H2218" s="9">
        <f>G2250=B2250</f>
        <v/>
      </c>
    </row>
    <row r="2219">
      <c r="B2219" s="11" t="n"/>
      <c r="C2219" s="8">
        <f>pinyin(B2251)</f>
        <v/>
      </c>
      <c r="E2219" s="8">
        <f>IFERROR(__xludf.DUMMYFUNCTION("GOOGLETRANSLATE(B2251, ""zh"", ""vi"")"),"#VALUE!")</f>
        <v/>
      </c>
      <c r="H2219" s="9">
        <f>G2251=B2251</f>
        <v/>
      </c>
    </row>
    <row r="2220">
      <c r="B2220" s="11" t="n"/>
      <c r="C2220" s="8">
        <f>pinyin(B2252)</f>
        <v/>
      </c>
      <c r="E2220" s="8">
        <f>IFERROR(__xludf.DUMMYFUNCTION("GOOGLETRANSLATE(B2252, ""zh"", ""vi"")"),"#VALUE!")</f>
        <v/>
      </c>
      <c r="H2220" s="9">
        <f>G2252=B2252</f>
        <v/>
      </c>
    </row>
    <row r="2221">
      <c r="B2221" s="11" t="n"/>
      <c r="C2221" s="8">
        <f>pinyin(B2253)</f>
        <v/>
      </c>
      <c r="E2221" s="8">
        <f>IFERROR(__xludf.DUMMYFUNCTION("GOOGLETRANSLATE(B2253, ""zh"", ""vi"")"),"#VALUE!")</f>
        <v/>
      </c>
      <c r="H2221" s="9">
        <f>G2253=B2253</f>
        <v/>
      </c>
    </row>
    <row r="2222">
      <c r="B2222" s="11" t="n"/>
      <c r="C2222" s="8">
        <f>pinyin(B2254)</f>
        <v/>
      </c>
      <c r="E2222" s="8">
        <f>IFERROR(__xludf.DUMMYFUNCTION("GOOGLETRANSLATE(B2254, ""zh"", ""vi"")"),"#VALUE!")</f>
        <v/>
      </c>
      <c r="H2222" s="9">
        <f>G2254=B2254</f>
        <v/>
      </c>
    </row>
    <row r="2223">
      <c r="B2223" s="11" t="n"/>
      <c r="C2223" s="8">
        <f>pinyin(B2255)</f>
        <v/>
      </c>
      <c r="E2223" s="8">
        <f>IFERROR(__xludf.DUMMYFUNCTION("GOOGLETRANSLATE(B2255, ""zh"", ""vi"")"),"#VALUE!")</f>
        <v/>
      </c>
      <c r="H2223" s="9">
        <f>G2255=B2255</f>
        <v/>
      </c>
    </row>
    <row r="2224">
      <c r="B2224" s="11" t="n"/>
      <c r="C2224" s="8">
        <f>pinyin(B2256)</f>
        <v/>
      </c>
      <c r="E2224" s="8">
        <f>IFERROR(__xludf.DUMMYFUNCTION("GOOGLETRANSLATE(B2256, ""zh"", ""vi"")"),"#VALUE!")</f>
        <v/>
      </c>
      <c r="H2224" s="9">
        <f>G2256=B2256</f>
        <v/>
      </c>
    </row>
    <row r="2225">
      <c r="B2225" s="11" t="n"/>
      <c r="C2225" s="8">
        <f>pinyin(B2257)</f>
        <v/>
      </c>
      <c r="E2225" s="8">
        <f>IFERROR(__xludf.DUMMYFUNCTION("GOOGLETRANSLATE(B2257, ""zh"", ""vi"")"),"#VALUE!")</f>
        <v/>
      </c>
      <c r="H2225" s="9">
        <f>G2257=B2257</f>
        <v/>
      </c>
    </row>
    <row r="2226">
      <c r="B2226" s="11" t="n"/>
      <c r="C2226" s="8">
        <f>pinyin(B2258)</f>
        <v/>
      </c>
      <c r="E2226" s="8">
        <f>IFERROR(__xludf.DUMMYFUNCTION("GOOGLETRANSLATE(B2258, ""zh"", ""vi"")"),"#VALUE!")</f>
        <v/>
      </c>
      <c r="H2226" s="9">
        <f>G2258=B2258</f>
        <v/>
      </c>
    </row>
    <row r="2227">
      <c r="B2227" s="11" t="n"/>
      <c r="C2227" s="8">
        <f>pinyin(B2259)</f>
        <v/>
      </c>
      <c r="E2227" s="8">
        <f>IFERROR(__xludf.DUMMYFUNCTION("GOOGLETRANSLATE(B2259, ""zh"", ""vi"")"),"#VALUE!")</f>
        <v/>
      </c>
      <c r="H2227" s="9">
        <f>G2259=B2259</f>
        <v/>
      </c>
    </row>
    <row r="2228">
      <c r="B2228" s="11" t="n"/>
      <c r="C2228" s="8">
        <f>pinyin(B2260)</f>
        <v/>
      </c>
      <c r="E2228" s="8">
        <f>IFERROR(__xludf.DUMMYFUNCTION("GOOGLETRANSLATE(B2260, ""zh"", ""vi"")"),"#VALUE!")</f>
        <v/>
      </c>
      <c r="H2228" s="9">
        <f>G2260=B2260</f>
        <v/>
      </c>
    </row>
    <row r="2229">
      <c r="B2229" s="11" t="n"/>
      <c r="C2229" s="8">
        <f>pinyin(B2261)</f>
        <v/>
      </c>
      <c r="E2229" s="8">
        <f>IFERROR(__xludf.DUMMYFUNCTION("GOOGLETRANSLATE(B2261, ""zh"", ""vi"")"),"#VALUE!")</f>
        <v/>
      </c>
      <c r="H2229" s="9">
        <f>G2261=B2261</f>
        <v/>
      </c>
    </row>
    <row r="2230">
      <c r="B2230" s="11" t="n"/>
      <c r="C2230" s="8">
        <f>pinyin(B2262)</f>
        <v/>
      </c>
      <c r="E2230" s="8">
        <f>IFERROR(__xludf.DUMMYFUNCTION("GOOGLETRANSLATE(B2262, ""zh"", ""vi"")"),"#VALUE!")</f>
        <v/>
      </c>
      <c r="H2230" s="9">
        <f>G2262=B2262</f>
        <v/>
      </c>
    </row>
    <row r="2231">
      <c r="B2231" s="11" t="n"/>
      <c r="C2231" s="8">
        <f>pinyin(B2263)</f>
        <v/>
      </c>
      <c r="E2231" s="8">
        <f>IFERROR(__xludf.DUMMYFUNCTION("GOOGLETRANSLATE(B2263, ""zh"", ""vi"")"),"#VALUE!")</f>
        <v/>
      </c>
      <c r="H2231" s="9">
        <f>G2263=B2263</f>
        <v/>
      </c>
    </row>
    <row r="2232">
      <c r="B2232" s="11" t="n"/>
      <c r="C2232" s="8">
        <f>pinyin(B2264)</f>
        <v/>
      </c>
      <c r="E2232" s="8">
        <f>IFERROR(__xludf.DUMMYFUNCTION("GOOGLETRANSLATE(B2264, ""zh"", ""vi"")"),"#VALUE!")</f>
        <v/>
      </c>
      <c r="H2232" s="9">
        <f>G2264=B2264</f>
        <v/>
      </c>
    </row>
    <row r="2233">
      <c r="B2233" s="11" t="n"/>
      <c r="C2233" s="8">
        <f>pinyin(B2265)</f>
        <v/>
      </c>
      <c r="E2233" s="8">
        <f>IFERROR(__xludf.DUMMYFUNCTION("GOOGLETRANSLATE(B2265, ""zh"", ""vi"")"),"#VALUE!")</f>
        <v/>
      </c>
      <c r="H2233" s="9">
        <f>G2265=B2265</f>
        <v/>
      </c>
    </row>
    <row r="2234">
      <c r="B2234" s="11" t="n"/>
      <c r="C2234" s="8">
        <f>pinyin(B2266)</f>
        <v/>
      </c>
      <c r="E2234" s="8">
        <f>IFERROR(__xludf.DUMMYFUNCTION("GOOGLETRANSLATE(B2266, ""zh"", ""vi"")"),"#VALUE!")</f>
        <v/>
      </c>
      <c r="H2234" s="9">
        <f>G2266=B2266</f>
        <v/>
      </c>
    </row>
    <row r="2235">
      <c r="B2235" s="11" t="n"/>
      <c r="C2235" s="8">
        <f>pinyin(B2267)</f>
        <v/>
      </c>
      <c r="E2235" s="8">
        <f>IFERROR(__xludf.DUMMYFUNCTION("GOOGLETRANSLATE(B2267, ""zh"", ""vi"")"),"#VALUE!")</f>
        <v/>
      </c>
      <c r="H2235" s="9">
        <f>G2267=B2267</f>
        <v/>
      </c>
    </row>
    <row r="2236">
      <c r="B2236" s="11" t="n"/>
      <c r="C2236" s="8">
        <f>pinyin(B2268)</f>
        <v/>
      </c>
      <c r="E2236" s="8">
        <f>IFERROR(__xludf.DUMMYFUNCTION("GOOGLETRANSLATE(B2268, ""zh"", ""vi"")"),"#VALUE!")</f>
        <v/>
      </c>
      <c r="H2236" s="9">
        <f>G2268=B2268</f>
        <v/>
      </c>
    </row>
    <row r="2237">
      <c r="B2237" s="11" t="n"/>
      <c r="C2237" s="8">
        <f>pinyin(B2269)</f>
        <v/>
      </c>
      <c r="E2237" s="8">
        <f>IFERROR(__xludf.DUMMYFUNCTION("GOOGLETRANSLATE(B2269, ""zh"", ""vi"")"),"#VALUE!")</f>
        <v/>
      </c>
      <c r="H2237" s="9">
        <f>G2269=B2269</f>
        <v/>
      </c>
    </row>
    <row r="2238">
      <c r="B2238" s="11" t="n"/>
      <c r="C2238" s="8">
        <f>pinyin(B2270)</f>
        <v/>
      </c>
      <c r="E2238" s="8">
        <f>IFERROR(__xludf.DUMMYFUNCTION("GOOGLETRANSLATE(B2270, ""zh"", ""vi"")"),"#VALUE!")</f>
        <v/>
      </c>
      <c r="H2238" s="9">
        <f>G2270=B2270</f>
        <v/>
      </c>
    </row>
    <row r="2239">
      <c r="B2239" s="11" t="n"/>
      <c r="C2239" s="8">
        <f>pinyin(B2271)</f>
        <v/>
      </c>
      <c r="E2239" s="8">
        <f>IFERROR(__xludf.DUMMYFUNCTION("GOOGLETRANSLATE(B2271, ""zh"", ""vi"")"),"#VALUE!")</f>
        <v/>
      </c>
      <c r="H2239" s="9">
        <f>G2271=B2271</f>
        <v/>
      </c>
    </row>
    <row r="2240">
      <c r="B2240" s="11" t="n"/>
      <c r="C2240" s="8">
        <f>pinyin(B2272)</f>
        <v/>
      </c>
      <c r="E2240" s="8">
        <f>IFERROR(__xludf.DUMMYFUNCTION("GOOGLETRANSLATE(B2272, ""zh"", ""vi"")"),"#VALUE!")</f>
        <v/>
      </c>
      <c r="H2240" s="9">
        <f>G2272=B2272</f>
        <v/>
      </c>
    </row>
    <row r="2241">
      <c r="B2241" s="11" t="n"/>
      <c r="C2241" s="8">
        <f>pinyin(B2273)</f>
        <v/>
      </c>
      <c r="E2241" s="8">
        <f>IFERROR(__xludf.DUMMYFUNCTION("GOOGLETRANSLATE(B2273, ""zh"", ""vi"")"),"#VALUE!")</f>
        <v/>
      </c>
      <c r="H2241" s="9">
        <f>G2273=B2273</f>
        <v/>
      </c>
    </row>
    <row r="2242">
      <c r="B2242" s="11" t="n"/>
      <c r="C2242" s="8">
        <f>pinyin(B2274)</f>
        <v/>
      </c>
      <c r="E2242" s="8">
        <f>IFERROR(__xludf.DUMMYFUNCTION("GOOGLETRANSLATE(B2274, ""zh"", ""vi"")"),"#VALUE!")</f>
        <v/>
      </c>
      <c r="H2242" s="9">
        <f>G2274=B2274</f>
        <v/>
      </c>
    </row>
    <row r="2243">
      <c r="B2243" s="11" t="n"/>
      <c r="C2243" s="8">
        <f>pinyin(B2275)</f>
        <v/>
      </c>
      <c r="E2243" s="8">
        <f>IFERROR(__xludf.DUMMYFUNCTION("GOOGLETRANSLATE(B2275, ""zh"", ""vi"")"),"#VALUE!")</f>
        <v/>
      </c>
      <c r="H2243" s="9">
        <f>G2275=B2275</f>
        <v/>
      </c>
    </row>
    <row r="2244">
      <c r="B2244" s="11" t="n"/>
      <c r="C2244" s="8">
        <f>pinyin(B2276)</f>
        <v/>
      </c>
      <c r="E2244" s="8">
        <f>IFERROR(__xludf.DUMMYFUNCTION("GOOGLETRANSLATE(B2276, ""zh"", ""vi"")"),"#VALUE!")</f>
        <v/>
      </c>
      <c r="H2244" s="9">
        <f>G2276=B2276</f>
        <v/>
      </c>
    </row>
    <row r="2245">
      <c r="B2245" s="11" t="n"/>
      <c r="C2245" s="8">
        <f>pinyin(B2277)</f>
        <v/>
      </c>
      <c r="E2245" s="8">
        <f>IFERROR(__xludf.DUMMYFUNCTION("GOOGLETRANSLATE(B2277, ""zh"", ""vi"")"),"#VALUE!")</f>
        <v/>
      </c>
      <c r="H2245" s="9">
        <f>G2277=B2277</f>
        <v/>
      </c>
    </row>
    <row r="2246">
      <c r="B2246" s="11" t="n"/>
      <c r="C2246" s="8">
        <f>pinyin(B2278)</f>
        <v/>
      </c>
      <c r="E2246" s="8">
        <f>IFERROR(__xludf.DUMMYFUNCTION("GOOGLETRANSLATE(B2278, ""zh"", ""vi"")"),"#VALUE!")</f>
        <v/>
      </c>
      <c r="H2246" s="9">
        <f>G2278=B2278</f>
        <v/>
      </c>
    </row>
    <row r="2247">
      <c r="B2247" s="11" t="n"/>
      <c r="C2247" s="8">
        <f>pinyin(B2279)</f>
        <v/>
      </c>
      <c r="E2247" s="8">
        <f>IFERROR(__xludf.DUMMYFUNCTION("GOOGLETRANSLATE(B2279, ""zh"", ""vi"")"),"#VALUE!")</f>
        <v/>
      </c>
      <c r="H2247" s="9">
        <f>G2279=B2279</f>
        <v/>
      </c>
    </row>
    <row r="2248">
      <c r="B2248" s="11" t="n"/>
      <c r="C2248" s="8">
        <f>pinyin(B2280)</f>
        <v/>
      </c>
      <c r="E2248" s="8">
        <f>IFERROR(__xludf.DUMMYFUNCTION("GOOGLETRANSLATE(B2280, ""zh"", ""vi"")"),"#VALUE!")</f>
        <v/>
      </c>
      <c r="H2248" s="9">
        <f>G2280=B2280</f>
        <v/>
      </c>
    </row>
    <row r="2249">
      <c r="B2249" s="11" t="n"/>
      <c r="C2249" s="8">
        <f>pinyin(B2281)</f>
        <v/>
      </c>
      <c r="E2249" s="8">
        <f>IFERROR(__xludf.DUMMYFUNCTION("GOOGLETRANSLATE(B2281, ""zh"", ""vi"")"),"#VALUE!")</f>
        <v/>
      </c>
      <c r="H2249" s="9">
        <f>G2281=B2281</f>
        <v/>
      </c>
    </row>
    <row r="2250">
      <c r="B2250" s="11" t="n"/>
      <c r="C2250" s="8">
        <f>pinyin(B2282)</f>
        <v/>
      </c>
      <c r="E2250" s="8">
        <f>IFERROR(__xludf.DUMMYFUNCTION("GOOGLETRANSLATE(B2282, ""zh"", ""vi"")"),"#VALUE!")</f>
        <v/>
      </c>
      <c r="H2250" s="9">
        <f>G2282=B2282</f>
        <v/>
      </c>
    </row>
    <row r="2251">
      <c r="B2251" s="11" t="n"/>
      <c r="C2251" s="8">
        <f>pinyin(B2283)</f>
        <v/>
      </c>
      <c r="E2251" s="8">
        <f>IFERROR(__xludf.DUMMYFUNCTION("GOOGLETRANSLATE(B2283, ""zh"", ""vi"")"),"#VALUE!")</f>
        <v/>
      </c>
      <c r="H2251" s="9">
        <f>G2283=B2283</f>
        <v/>
      </c>
    </row>
    <row r="2252">
      <c r="B2252" s="11" t="n"/>
      <c r="C2252" s="8">
        <f>pinyin(B2284)</f>
        <v/>
      </c>
      <c r="E2252" s="8">
        <f>IFERROR(__xludf.DUMMYFUNCTION("GOOGLETRANSLATE(B2284, ""zh"", ""vi"")"),"#VALUE!")</f>
        <v/>
      </c>
      <c r="H2252" s="9">
        <f>G2284=B2284</f>
        <v/>
      </c>
    </row>
    <row r="2253">
      <c r="B2253" s="11" t="n"/>
      <c r="C2253" s="8">
        <f>pinyin(B2285)</f>
        <v/>
      </c>
      <c r="E2253" s="8">
        <f>IFERROR(__xludf.DUMMYFUNCTION("GOOGLETRANSLATE(B2285, ""zh"", ""vi"")"),"#VALUE!")</f>
        <v/>
      </c>
      <c r="H2253" s="9">
        <f>G2285=B2285</f>
        <v/>
      </c>
    </row>
    <row r="2254">
      <c r="B2254" s="11" t="n"/>
      <c r="C2254" s="8">
        <f>pinyin(B2286)</f>
        <v/>
      </c>
      <c r="E2254" s="8">
        <f>IFERROR(__xludf.DUMMYFUNCTION("GOOGLETRANSLATE(B2286, ""zh"", ""vi"")"),"#VALUE!")</f>
        <v/>
      </c>
      <c r="H2254" s="9">
        <f>G2286=B2286</f>
        <v/>
      </c>
    </row>
    <row r="2255">
      <c r="B2255" s="11" t="n"/>
      <c r="C2255" s="8">
        <f>pinyin(B2287)</f>
        <v/>
      </c>
      <c r="E2255" s="8">
        <f>IFERROR(__xludf.DUMMYFUNCTION("GOOGLETRANSLATE(B2287, ""zh"", ""vi"")"),"#VALUE!")</f>
        <v/>
      </c>
      <c r="H2255" s="9">
        <f>G2287=B2287</f>
        <v/>
      </c>
    </row>
    <row r="2256">
      <c r="B2256" s="11" t="n"/>
      <c r="C2256" s="8">
        <f>pinyin(B2288)</f>
        <v/>
      </c>
      <c r="E2256" s="8">
        <f>IFERROR(__xludf.DUMMYFUNCTION("GOOGLETRANSLATE(B2288, ""zh"", ""vi"")"),"#VALUE!")</f>
        <v/>
      </c>
      <c r="H2256" s="9">
        <f>G2288=B2288</f>
        <v/>
      </c>
    </row>
    <row r="2257">
      <c r="B2257" s="11" t="n"/>
      <c r="C2257" s="8">
        <f>pinyin(B2289)</f>
        <v/>
      </c>
      <c r="E2257" s="8">
        <f>IFERROR(__xludf.DUMMYFUNCTION("GOOGLETRANSLATE(B2289, ""zh"", ""vi"")"),"#VALUE!")</f>
        <v/>
      </c>
      <c r="H2257" s="9">
        <f>G2289=B2289</f>
        <v/>
      </c>
    </row>
    <row r="2258">
      <c r="B2258" s="11" t="n"/>
      <c r="C2258" s="8">
        <f>pinyin(B2290)</f>
        <v/>
      </c>
      <c r="E2258" s="8">
        <f>IFERROR(__xludf.DUMMYFUNCTION("GOOGLETRANSLATE(B2290, ""zh"", ""vi"")"),"#VALUE!")</f>
        <v/>
      </c>
      <c r="H2258" s="9">
        <f>G2290=B2290</f>
        <v/>
      </c>
    </row>
    <row r="2259">
      <c r="B2259" s="11" t="n"/>
      <c r="C2259" s="8">
        <f>pinyin(B2291)</f>
        <v/>
      </c>
      <c r="E2259" s="8">
        <f>IFERROR(__xludf.DUMMYFUNCTION("GOOGLETRANSLATE(B2291, ""zh"", ""vi"")"),"#VALUE!")</f>
        <v/>
      </c>
      <c r="H2259" s="9">
        <f>G2291=B2291</f>
        <v/>
      </c>
    </row>
    <row r="2260">
      <c r="B2260" s="11" t="n"/>
      <c r="C2260" s="8">
        <f>pinyin(B2292)</f>
        <v/>
      </c>
      <c r="E2260" s="8">
        <f>IFERROR(__xludf.DUMMYFUNCTION("GOOGLETRANSLATE(B2292, ""zh"", ""vi"")"),"#VALUE!")</f>
        <v/>
      </c>
      <c r="H2260" s="9">
        <f>G2292=B2292</f>
        <v/>
      </c>
    </row>
    <row r="2261">
      <c r="B2261" s="11" t="n"/>
      <c r="C2261" s="8">
        <f>pinyin(B2293)</f>
        <v/>
      </c>
      <c r="E2261" s="8">
        <f>IFERROR(__xludf.DUMMYFUNCTION("GOOGLETRANSLATE(B2293, ""zh"", ""vi"")"),"#VALUE!")</f>
        <v/>
      </c>
      <c r="H2261" s="9">
        <f>G2293=B2293</f>
        <v/>
      </c>
    </row>
    <row r="2262">
      <c r="B2262" s="11" t="n"/>
      <c r="C2262" s="8">
        <f>pinyin(B2294)</f>
        <v/>
      </c>
      <c r="E2262" s="8">
        <f>IFERROR(__xludf.DUMMYFUNCTION("GOOGLETRANSLATE(B2294, ""zh"", ""vi"")"),"#VALUE!")</f>
        <v/>
      </c>
      <c r="H2262" s="9">
        <f>G2294=B2294</f>
        <v/>
      </c>
    </row>
    <row r="2263">
      <c r="B2263" s="11" t="n"/>
      <c r="C2263" s="8">
        <f>pinyin(B2295)</f>
        <v/>
      </c>
      <c r="E2263" s="8">
        <f>IFERROR(__xludf.DUMMYFUNCTION("GOOGLETRANSLATE(B2295, ""zh"", ""vi"")"),"#VALUE!")</f>
        <v/>
      </c>
      <c r="H2263" s="9">
        <f>G2295=B2295</f>
        <v/>
      </c>
    </row>
    <row r="2264">
      <c r="B2264" s="11" t="n"/>
      <c r="C2264" s="8">
        <f>pinyin(B2296)</f>
        <v/>
      </c>
      <c r="E2264" s="8">
        <f>IFERROR(__xludf.DUMMYFUNCTION("GOOGLETRANSLATE(B2296, ""zh"", ""vi"")"),"#VALUE!")</f>
        <v/>
      </c>
      <c r="H2264" s="9">
        <f>G2296=B2296</f>
        <v/>
      </c>
    </row>
    <row r="2265">
      <c r="B2265" s="11" t="n"/>
      <c r="C2265" s="8">
        <f>pinyin(B2297)</f>
        <v/>
      </c>
      <c r="E2265" s="8">
        <f>IFERROR(__xludf.DUMMYFUNCTION("GOOGLETRANSLATE(B2297, ""zh"", ""vi"")"),"#VALUE!")</f>
        <v/>
      </c>
      <c r="H2265" s="9">
        <f>G2297=B2297</f>
        <v/>
      </c>
    </row>
    <row r="2266">
      <c r="B2266" s="11" t="n"/>
      <c r="C2266" s="8">
        <f>pinyin(B2298)</f>
        <v/>
      </c>
      <c r="E2266" s="8">
        <f>IFERROR(__xludf.DUMMYFUNCTION("GOOGLETRANSLATE(B2298, ""zh"", ""vi"")"),"#VALUE!")</f>
        <v/>
      </c>
      <c r="H2266" s="9">
        <f>G2298=B2298</f>
        <v/>
      </c>
    </row>
    <row r="2267">
      <c r="B2267" s="11" t="n"/>
      <c r="C2267" s="8">
        <f>pinyin(B2299)</f>
        <v/>
      </c>
      <c r="E2267" s="8">
        <f>IFERROR(__xludf.DUMMYFUNCTION("GOOGLETRANSLATE(B2299, ""zh"", ""vi"")"),"#VALUE!")</f>
        <v/>
      </c>
      <c r="H2267" s="9">
        <f>G2299=B2299</f>
        <v/>
      </c>
    </row>
    <row r="2268">
      <c r="B2268" s="11" t="n"/>
      <c r="C2268" s="8">
        <f>pinyin(B2300)</f>
        <v/>
      </c>
      <c r="E2268" s="8">
        <f>IFERROR(__xludf.DUMMYFUNCTION("GOOGLETRANSLATE(B2300, ""zh"", ""vi"")"),"#VALUE!")</f>
        <v/>
      </c>
      <c r="H2268" s="9">
        <f>G2300=B2300</f>
        <v/>
      </c>
    </row>
    <row r="2269">
      <c r="B2269" s="11" t="n"/>
      <c r="C2269" s="8">
        <f>pinyin(B2301)</f>
        <v/>
      </c>
      <c r="E2269" s="8">
        <f>IFERROR(__xludf.DUMMYFUNCTION("GOOGLETRANSLATE(B2301, ""zh"", ""vi"")"),"#VALUE!")</f>
        <v/>
      </c>
      <c r="H2269" s="9">
        <f>G2301=B2301</f>
        <v/>
      </c>
    </row>
    <row r="2270">
      <c r="B2270" s="11" t="n"/>
      <c r="C2270" s="8">
        <f>pinyin(B2302)</f>
        <v/>
      </c>
      <c r="E2270" s="8">
        <f>IFERROR(__xludf.DUMMYFUNCTION("GOOGLETRANSLATE(B2302, ""zh"", ""vi"")"),"#VALUE!")</f>
        <v/>
      </c>
      <c r="H2270" s="9">
        <f>G2302=B2302</f>
        <v/>
      </c>
    </row>
    <row r="2271">
      <c r="B2271" s="11" t="n"/>
      <c r="C2271" s="8">
        <f>pinyin(B2303)</f>
        <v/>
      </c>
      <c r="E2271" s="8">
        <f>IFERROR(__xludf.DUMMYFUNCTION("GOOGLETRANSLATE(B2303, ""zh"", ""vi"")"),"#VALUE!")</f>
        <v/>
      </c>
      <c r="H2271" s="9">
        <f>G2303=B2303</f>
        <v/>
      </c>
    </row>
    <row r="2272">
      <c r="B2272" s="11" t="n"/>
      <c r="C2272" s="8">
        <f>pinyin(B2304)</f>
        <v/>
      </c>
      <c r="E2272" s="8">
        <f>IFERROR(__xludf.DUMMYFUNCTION("GOOGLETRANSLATE(B2304, ""zh"", ""vi"")"),"#VALUE!")</f>
        <v/>
      </c>
      <c r="H2272" s="9">
        <f>G2304=B2304</f>
        <v/>
      </c>
    </row>
    <row r="2273">
      <c r="B2273" s="11" t="n"/>
      <c r="C2273" s="8">
        <f>pinyin(B2305)</f>
        <v/>
      </c>
      <c r="E2273" s="8">
        <f>IFERROR(__xludf.DUMMYFUNCTION("GOOGLETRANSLATE(B2305, ""zh"", ""vi"")"),"#VALUE!")</f>
        <v/>
      </c>
      <c r="H2273" s="9">
        <f>G2305=B2305</f>
        <v/>
      </c>
    </row>
    <row r="2274">
      <c r="B2274" s="11" t="n"/>
      <c r="C2274" s="8">
        <f>pinyin(B2306)</f>
        <v/>
      </c>
      <c r="E2274" s="8">
        <f>IFERROR(__xludf.DUMMYFUNCTION("GOOGLETRANSLATE(B2306, ""zh"", ""vi"")"),"#VALUE!")</f>
        <v/>
      </c>
      <c r="H2274" s="9">
        <f>G2306=B2306</f>
        <v/>
      </c>
    </row>
    <row r="2275">
      <c r="B2275" s="11" t="n"/>
      <c r="C2275" s="8">
        <f>pinyin(B2307)</f>
        <v/>
      </c>
      <c r="E2275" s="8">
        <f>IFERROR(__xludf.DUMMYFUNCTION("GOOGLETRANSLATE(B2307, ""zh"", ""vi"")"),"#VALUE!")</f>
        <v/>
      </c>
      <c r="H2275" s="9">
        <f>G2307=B2307</f>
        <v/>
      </c>
    </row>
    <row r="2276">
      <c r="B2276" s="11" t="n"/>
      <c r="C2276" s="8">
        <f>pinyin(B2308)</f>
        <v/>
      </c>
      <c r="E2276" s="8">
        <f>IFERROR(__xludf.DUMMYFUNCTION("GOOGLETRANSLATE(B2308, ""zh"", ""vi"")"),"#VALUE!")</f>
        <v/>
      </c>
      <c r="H2276" s="9">
        <f>G2308=B2308</f>
        <v/>
      </c>
    </row>
    <row r="2277">
      <c r="B2277" s="11" t="n"/>
      <c r="C2277" s="8">
        <f>pinyin(B2309)</f>
        <v/>
      </c>
      <c r="E2277" s="8">
        <f>IFERROR(__xludf.DUMMYFUNCTION("GOOGLETRANSLATE(B2309, ""zh"", ""vi"")"),"#VALUE!")</f>
        <v/>
      </c>
      <c r="H2277" s="9">
        <f>G2309=B2309</f>
        <v/>
      </c>
    </row>
    <row r="2278">
      <c r="B2278" s="11" t="n"/>
      <c r="C2278" s="8">
        <f>pinyin(B2310)</f>
        <v/>
      </c>
      <c r="E2278" s="8">
        <f>IFERROR(__xludf.DUMMYFUNCTION("GOOGLETRANSLATE(B2310, ""zh"", ""vi"")"),"#VALUE!")</f>
        <v/>
      </c>
      <c r="H2278" s="9">
        <f>G2310=B2310</f>
        <v/>
      </c>
    </row>
    <row r="2279">
      <c r="B2279" s="11" t="n"/>
      <c r="C2279" s="8">
        <f>pinyin(B2311)</f>
        <v/>
      </c>
      <c r="E2279" s="8">
        <f>IFERROR(__xludf.DUMMYFUNCTION("GOOGLETRANSLATE(B2311, ""zh"", ""vi"")"),"#VALUE!")</f>
        <v/>
      </c>
      <c r="H2279" s="9">
        <f>G2311=B2311</f>
        <v/>
      </c>
    </row>
    <row r="2280">
      <c r="B2280" s="11" t="n"/>
      <c r="C2280" s="8">
        <f>pinyin(B2312)</f>
        <v/>
      </c>
      <c r="E2280" s="8">
        <f>IFERROR(__xludf.DUMMYFUNCTION("GOOGLETRANSLATE(B2312, ""zh"", ""vi"")"),"#VALUE!")</f>
        <v/>
      </c>
      <c r="H2280" s="9">
        <f>G2312=B2312</f>
        <v/>
      </c>
    </row>
    <row r="2281">
      <c r="B2281" s="11" t="n"/>
      <c r="C2281" s="8">
        <f>pinyin(B2313)</f>
        <v/>
      </c>
      <c r="E2281" s="8">
        <f>IFERROR(__xludf.DUMMYFUNCTION("GOOGLETRANSLATE(B2313, ""zh"", ""vi"")"),"#VALUE!")</f>
        <v/>
      </c>
      <c r="H2281" s="9">
        <f>G2313=B2313</f>
        <v/>
      </c>
    </row>
    <row r="2282">
      <c r="B2282" s="11" t="n"/>
      <c r="C2282" s="8">
        <f>pinyin(B2314)</f>
        <v/>
      </c>
      <c r="E2282" s="8">
        <f>IFERROR(__xludf.DUMMYFUNCTION("GOOGLETRANSLATE(B2314, ""zh"", ""vi"")"),"#VALUE!")</f>
        <v/>
      </c>
      <c r="H2282" s="9">
        <f>G2314=B2314</f>
        <v/>
      </c>
    </row>
    <row r="2283">
      <c r="B2283" s="11" t="n"/>
      <c r="C2283" s="8">
        <f>pinyin(B2315)</f>
        <v/>
      </c>
      <c r="E2283" s="8">
        <f>IFERROR(__xludf.DUMMYFUNCTION("GOOGLETRANSLATE(B2315, ""zh"", ""vi"")"),"#VALUE!")</f>
        <v/>
      </c>
      <c r="H2283" s="9">
        <f>G2315=B2315</f>
        <v/>
      </c>
    </row>
    <row r="2284">
      <c r="B2284" s="11" t="n"/>
      <c r="C2284" s="8">
        <f>pinyin(B2316)</f>
        <v/>
      </c>
      <c r="E2284" s="8">
        <f>IFERROR(__xludf.DUMMYFUNCTION("GOOGLETRANSLATE(B2316, ""zh"", ""vi"")"),"#VALUE!")</f>
        <v/>
      </c>
      <c r="H2284" s="9">
        <f>G2316=B2316</f>
        <v/>
      </c>
    </row>
    <row r="2285">
      <c r="B2285" s="11" t="n"/>
      <c r="C2285" s="8">
        <f>pinyin(B2317)</f>
        <v/>
      </c>
      <c r="E2285" s="8">
        <f>IFERROR(__xludf.DUMMYFUNCTION("GOOGLETRANSLATE(B2317, ""zh"", ""vi"")"),"#VALUE!")</f>
        <v/>
      </c>
      <c r="H2285" s="9">
        <f>G2317=B2317</f>
        <v/>
      </c>
    </row>
    <row r="2286">
      <c r="B2286" s="11" t="n"/>
      <c r="C2286" s="8">
        <f>pinyin(B2318)</f>
        <v/>
      </c>
      <c r="E2286" s="8">
        <f>IFERROR(__xludf.DUMMYFUNCTION("GOOGLETRANSLATE(B2318, ""zh"", ""vi"")"),"#VALUE!")</f>
        <v/>
      </c>
      <c r="H2286" s="9">
        <f>G2318=B2318</f>
        <v/>
      </c>
    </row>
    <row r="2287">
      <c r="B2287" s="11" t="n"/>
      <c r="C2287" s="8">
        <f>pinyin(B2319)</f>
        <v/>
      </c>
      <c r="E2287" s="8">
        <f>IFERROR(__xludf.DUMMYFUNCTION("GOOGLETRANSLATE(B2319, ""zh"", ""vi"")"),"#VALUE!")</f>
        <v/>
      </c>
      <c r="H2287" s="9">
        <f>G2319=B2319</f>
        <v/>
      </c>
    </row>
    <row r="2288">
      <c r="B2288" s="11" t="n"/>
      <c r="C2288" s="8">
        <f>pinyin(B2320)</f>
        <v/>
      </c>
      <c r="E2288" s="8">
        <f>IFERROR(__xludf.DUMMYFUNCTION("GOOGLETRANSLATE(B2320, ""zh"", ""vi"")"),"#VALUE!")</f>
        <v/>
      </c>
      <c r="H2288" s="9">
        <f>G2320=B2320</f>
        <v/>
      </c>
    </row>
    <row r="2289">
      <c r="B2289" s="11" t="n"/>
      <c r="C2289" s="8">
        <f>pinyin(B2321)</f>
        <v/>
      </c>
      <c r="E2289" s="8">
        <f>IFERROR(__xludf.DUMMYFUNCTION("GOOGLETRANSLATE(B2321, ""zh"", ""vi"")"),"#VALUE!")</f>
        <v/>
      </c>
      <c r="H2289" s="9">
        <f>G2321=B2321</f>
        <v/>
      </c>
    </row>
    <row r="2290">
      <c r="B2290" s="11" t="n"/>
      <c r="C2290" s="8">
        <f>pinyin(B2322)</f>
        <v/>
      </c>
      <c r="E2290" s="8">
        <f>IFERROR(__xludf.DUMMYFUNCTION("GOOGLETRANSLATE(B2322, ""zh"", ""vi"")"),"#VALUE!")</f>
        <v/>
      </c>
      <c r="H2290" s="9">
        <f>G2322=B2322</f>
        <v/>
      </c>
    </row>
    <row r="2291">
      <c r="B2291" s="11" t="n"/>
      <c r="C2291" s="8">
        <f>pinyin(B2323)</f>
        <v/>
      </c>
      <c r="E2291" s="8">
        <f>IFERROR(__xludf.DUMMYFUNCTION("GOOGLETRANSLATE(B2323, ""zh"", ""vi"")"),"#VALUE!")</f>
        <v/>
      </c>
      <c r="H2291" s="9">
        <f>G2323=B2323</f>
        <v/>
      </c>
    </row>
    <row r="2292">
      <c r="B2292" s="11" t="n"/>
      <c r="C2292" s="8">
        <f>pinyin(B2324)</f>
        <v/>
      </c>
      <c r="E2292" s="8">
        <f>IFERROR(__xludf.DUMMYFUNCTION("GOOGLETRANSLATE(B2324, ""zh"", ""vi"")"),"#VALUE!")</f>
        <v/>
      </c>
      <c r="H2292" s="9">
        <f>G2324=B2324</f>
        <v/>
      </c>
    </row>
    <row r="2293">
      <c r="B2293" s="11" t="n"/>
      <c r="C2293" s="8">
        <f>pinyin(B2325)</f>
        <v/>
      </c>
      <c r="E2293" s="8">
        <f>IFERROR(__xludf.DUMMYFUNCTION("GOOGLETRANSLATE(B2325, ""zh"", ""vi"")"),"#VALUE!")</f>
        <v/>
      </c>
      <c r="H2293" s="9">
        <f>G2325=B2325</f>
        <v/>
      </c>
    </row>
    <row r="2294">
      <c r="B2294" s="11" t="n"/>
      <c r="C2294" s="8">
        <f>pinyin(B2326)</f>
        <v/>
      </c>
      <c r="E2294" s="8">
        <f>IFERROR(__xludf.DUMMYFUNCTION("GOOGLETRANSLATE(B2326, ""zh"", ""vi"")"),"#VALUE!")</f>
        <v/>
      </c>
      <c r="H2294" s="9">
        <f>G2326=B2326</f>
        <v/>
      </c>
    </row>
    <row r="2295">
      <c r="B2295" s="11" t="n"/>
      <c r="C2295" s="8">
        <f>pinyin(B2327)</f>
        <v/>
      </c>
      <c r="E2295" s="8">
        <f>IFERROR(__xludf.DUMMYFUNCTION("GOOGLETRANSLATE(B2327, ""zh"", ""vi"")"),"#VALUE!")</f>
        <v/>
      </c>
      <c r="H2295" s="9">
        <f>G2327=B2327</f>
        <v/>
      </c>
    </row>
    <row r="2296">
      <c r="B2296" s="11" t="n"/>
      <c r="C2296" s="8">
        <f>pinyin(B2328)</f>
        <v/>
      </c>
      <c r="E2296" s="8">
        <f>IFERROR(__xludf.DUMMYFUNCTION("GOOGLETRANSLATE(B2328, ""zh"", ""vi"")"),"#VALUE!")</f>
        <v/>
      </c>
      <c r="H2296" s="9">
        <f>G2328=B2328</f>
        <v/>
      </c>
    </row>
    <row r="2297">
      <c r="B2297" s="11" t="n"/>
      <c r="C2297" s="8">
        <f>pinyin(B2329)</f>
        <v/>
      </c>
      <c r="E2297" s="8">
        <f>IFERROR(__xludf.DUMMYFUNCTION("GOOGLETRANSLATE(B2329, ""zh"", ""vi"")"),"#VALUE!")</f>
        <v/>
      </c>
      <c r="H2297" s="9">
        <f>G2329=B2329</f>
        <v/>
      </c>
    </row>
    <row r="2298">
      <c r="B2298" s="11" t="n"/>
      <c r="C2298" s="8">
        <f>pinyin(B2330)</f>
        <v/>
      </c>
      <c r="E2298" s="8">
        <f>IFERROR(__xludf.DUMMYFUNCTION("GOOGLETRANSLATE(B2330, ""zh"", ""vi"")"),"#VALUE!")</f>
        <v/>
      </c>
      <c r="H2298" s="9">
        <f>G2330=B2330</f>
        <v/>
      </c>
    </row>
    <row r="2299">
      <c r="B2299" s="11" t="n"/>
      <c r="C2299" s="8">
        <f>pinyin(B2331)</f>
        <v/>
      </c>
      <c r="E2299" s="8">
        <f>IFERROR(__xludf.DUMMYFUNCTION("GOOGLETRANSLATE(B2331, ""zh"", ""vi"")"),"#VALUE!")</f>
        <v/>
      </c>
      <c r="H2299" s="9">
        <f>G2331=B2331</f>
        <v/>
      </c>
    </row>
    <row r="2300">
      <c r="B2300" s="11" t="n"/>
      <c r="C2300" s="8">
        <f>pinyin(B2332)</f>
        <v/>
      </c>
      <c r="E2300" s="8">
        <f>IFERROR(__xludf.DUMMYFUNCTION("GOOGLETRANSLATE(B2332, ""zh"", ""vi"")"),"#VALUE!")</f>
        <v/>
      </c>
      <c r="H2300" s="9">
        <f>G2332=B2332</f>
        <v/>
      </c>
    </row>
    <row r="2301">
      <c r="B2301" s="11" t="n"/>
      <c r="C2301" s="8">
        <f>pinyin(B2333)</f>
        <v/>
      </c>
      <c r="E2301" s="8">
        <f>IFERROR(__xludf.DUMMYFUNCTION("GOOGLETRANSLATE(B2333, ""zh"", ""vi"")"),"#VALUE!")</f>
        <v/>
      </c>
      <c r="H2301" s="9">
        <f>G2333=B2333</f>
        <v/>
      </c>
    </row>
    <row r="2302">
      <c r="B2302" s="11" t="n"/>
      <c r="C2302" s="8">
        <f>pinyin(B2334)</f>
        <v/>
      </c>
      <c r="E2302" s="8">
        <f>IFERROR(__xludf.DUMMYFUNCTION("GOOGLETRANSLATE(B2334, ""zh"", ""vi"")"),"#VALUE!")</f>
        <v/>
      </c>
      <c r="H2302" s="9">
        <f>G2334=B2334</f>
        <v/>
      </c>
    </row>
    <row r="2303">
      <c r="B2303" s="11" t="n"/>
      <c r="C2303" s="8">
        <f>pinyin(B2335)</f>
        <v/>
      </c>
      <c r="E2303" s="8">
        <f>IFERROR(__xludf.DUMMYFUNCTION("GOOGLETRANSLATE(B2335, ""zh"", ""vi"")"),"#VALUE!")</f>
        <v/>
      </c>
      <c r="H2303" s="9">
        <f>G2335=B2335</f>
        <v/>
      </c>
    </row>
    <row r="2304">
      <c r="B2304" s="11" t="n"/>
      <c r="C2304" s="8">
        <f>pinyin(B2336)</f>
        <v/>
      </c>
      <c r="E2304" s="8">
        <f>IFERROR(__xludf.DUMMYFUNCTION("GOOGLETRANSLATE(B2336, ""zh"", ""vi"")"),"#VALUE!")</f>
        <v/>
      </c>
      <c r="H2304" s="9">
        <f>G2336=B2336</f>
        <v/>
      </c>
    </row>
    <row r="2305">
      <c r="B2305" s="11" t="n"/>
      <c r="C2305" s="8">
        <f>pinyin(B2337)</f>
        <v/>
      </c>
      <c r="E2305" s="8">
        <f>IFERROR(__xludf.DUMMYFUNCTION("GOOGLETRANSLATE(B2337, ""zh"", ""vi"")"),"#VALUE!")</f>
        <v/>
      </c>
      <c r="H2305" s="9">
        <f>G2337=B2337</f>
        <v/>
      </c>
    </row>
    <row r="2306">
      <c r="B2306" s="11" t="n"/>
      <c r="C2306" s="8">
        <f>pinyin(B2338)</f>
        <v/>
      </c>
      <c r="E2306" s="8">
        <f>IFERROR(__xludf.DUMMYFUNCTION("GOOGLETRANSLATE(B2338, ""zh"", ""vi"")"),"#VALUE!")</f>
        <v/>
      </c>
      <c r="H2306" s="9">
        <f>G2338=B2338</f>
        <v/>
      </c>
    </row>
    <row r="2307">
      <c r="B2307" s="11" t="n"/>
      <c r="C2307" s="8">
        <f>pinyin(B2339)</f>
        <v/>
      </c>
      <c r="E2307" s="8">
        <f>IFERROR(__xludf.DUMMYFUNCTION("GOOGLETRANSLATE(B2339, ""zh"", ""vi"")"),"#VALUE!")</f>
        <v/>
      </c>
      <c r="H2307" s="9">
        <f>G2339=B2339</f>
        <v/>
      </c>
    </row>
    <row r="2308">
      <c r="B2308" s="11" t="n"/>
      <c r="C2308" s="8">
        <f>pinyin(B2340)</f>
        <v/>
      </c>
      <c r="E2308" s="8">
        <f>IFERROR(__xludf.DUMMYFUNCTION("GOOGLETRANSLATE(B2340, ""zh"", ""vi"")"),"#VALUE!")</f>
        <v/>
      </c>
      <c r="H2308" s="9">
        <f>G2340=B2340</f>
        <v/>
      </c>
    </row>
    <row r="2309">
      <c r="B2309" s="11" t="n"/>
      <c r="C2309" s="8">
        <f>pinyin(B2341)</f>
        <v/>
      </c>
      <c r="E2309" s="8">
        <f>IFERROR(__xludf.DUMMYFUNCTION("GOOGLETRANSLATE(B2341, ""zh"", ""vi"")"),"#VALUE!")</f>
        <v/>
      </c>
      <c r="H2309" s="9">
        <f>G2341=B2341</f>
        <v/>
      </c>
    </row>
    <row r="2310">
      <c r="B2310" s="11" t="n"/>
      <c r="C2310" s="8">
        <f>pinyin(B2342)</f>
        <v/>
      </c>
      <c r="E2310" s="8">
        <f>IFERROR(__xludf.DUMMYFUNCTION("GOOGLETRANSLATE(B2342, ""zh"", ""vi"")"),"#VALUE!")</f>
        <v/>
      </c>
      <c r="H2310" s="9">
        <f>G2342=B2342</f>
        <v/>
      </c>
    </row>
    <row r="2311">
      <c r="B2311" s="11" t="n"/>
      <c r="C2311" s="8">
        <f>pinyin(B2343)</f>
        <v/>
      </c>
      <c r="E2311" s="8">
        <f>IFERROR(__xludf.DUMMYFUNCTION("GOOGLETRANSLATE(B2343, ""zh"", ""vi"")"),"#VALUE!")</f>
        <v/>
      </c>
      <c r="H2311" s="9">
        <f>G2343=B2343</f>
        <v/>
      </c>
    </row>
    <row r="2312">
      <c r="B2312" s="11" t="n"/>
      <c r="C2312" s="8">
        <f>pinyin(B2344)</f>
        <v/>
      </c>
      <c r="E2312" s="8">
        <f>IFERROR(__xludf.DUMMYFUNCTION("GOOGLETRANSLATE(B2344, ""zh"", ""vi"")"),"#VALUE!")</f>
        <v/>
      </c>
      <c r="H2312" s="9">
        <f>G2344=B2344</f>
        <v/>
      </c>
    </row>
    <row r="2313">
      <c r="B2313" s="11" t="n"/>
      <c r="C2313" s="8">
        <f>pinyin(B2345)</f>
        <v/>
      </c>
      <c r="E2313" s="8">
        <f>IFERROR(__xludf.DUMMYFUNCTION("GOOGLETRANSLATE(B2345, ""zh"", ""vi"")"),"#VALUE!")</f>
        <v/>
      </c>
      <c r="H2313" s="9">
        <f>G2345=B2345</f>
        <v/>
      </c>
    </row>
    <row r="2314">
      <c r="B2314" s="11" t="n"/>
      <c r="C2314" s="8">
        <f>pinyin(B2346)</f>
        <v/>
      </c>
      <c r="E2314" s="8">
        <f>IFERROR(__xludf.DUMMYFUNCTION("GOOGLETRANSLATE(B2346, ""zh"", ""vi"")"),"#VALUE!")</f>
        <v/>
      </c>
      <c r="H2314" s="9">
        <f>G2346=B2346</f>
        <v/>
      </c>
    </row>
    <row r="2315">
      <c r="B2315" s="11" t="n"/>
      <c r="C2315" s="8">
        <f>pinyin(B2347)</f>
        <v/>
      </c>
      <c r="E2315" s="8">
        <f>IFERROR(__xludf.DUMMYFUNCTION("GOOGLETRANSLATE(B2347, ""zh"", ""vi"")"),"#VALUE!")</f>
        <v/>
      </c>
      <c r="H2315" s="9">
        <f>G2347=B2347</f>
        <v/>
      </c>
    </row>
    <row r="2316">
      <c r="B2316" s="11" t="n"/>
      <c r="C2316" s="8">
        <f>pinyin(B2348)</f>
        <v/>
      </c>
      <c r="E2316" s="8">
        <f>IFERROR(__xludf.DUMMYFUNCTION("GOOGLETRANSLATE(B2348, ""zh"", ""vi"")"),"#VALUE!")</f>
        <v/>
      </c>
      <c r="H2316" s="9">
        <f>G2348=B2348</f>
        <v/>
      </c>
    </row>
    <row r="2317">
      <c r="B2317" s="11" t="n"/>
      <c r="C2317" s="8">
        <f>pinyin(B2349)</f>
        <v/>
      </c>
      <c r="E2317" s="8">
        <f>IFERROR(__xludf.DUMMYFUNCTION("GOOGLETRANSLATE(B2349, ""zh"", ""vi"")"),"#VALUE!")</f>
        <v/>
      </c>
      <c r="H2317" s="9">
        <f>G2349=B2349</f>
        <v/>
      </c>
    </row>
    <row r="2318">
      <c r="B2318" s="11" t="n"/>
      <c r="C2318" s="8">
        <f>pinyin(B2350)</f>
        <v/>
      </c>
      <c r="E2318" s="8">
        <f>IFERROR(__xludf.DUMMYFUNCTION("GOOGLETRANSLATE(B2350, ""zh"", ""vi"")"),"#VALUE!")</f>
        <v/>
      </c>
      <c r="H2318" s="9">
        <f>G2350=B2350</f>
        <v/>
      </c>
    </row>
    <row r="2319">
      <c r="B2319" s="11" t="n"/>
      <c r="C2319" s="8">
        <f>pinyin(B2351)</f>
        <v/>
      </c>
      <c r="E2319" s="8">
        <f>IFERROR(__xludf.DUMMYFUNCTION("GOOGLETRANSLATE(B2351, ""zh"", ""vi"")"),"#VALUE!")</f>
        <v/>
      </c>
      <c r="H2319" s="9">
        <f>G2351=B2351</f>
        <v/>
      </c>
    </row>
    <row r="2320">
      <c r="B2320" s="11" t="n"/>
      <c r="C2320" s="8">
        <f>pinyin(B2352)</f>
        <v/>
      </c>
      <c r="E2320" s="8">
        <f>IFERROR(__xludf.DUMMYFUNCTION("GOOGLETRANSLATE(B2352, ""zh"", ""vi"")"),"#VALUE!")</f>
        <v/>
      </c>
      <c r="H2320" s="9">
        <f>G2352=B2352</f>
        <v/>
      </c>
    </row>
    <row r="2321">
      <c r="B2321" s="11" t="n"/>
      <c r="C2321" s="8">
        <f>pinyin(B2353)</f>
        <v/>
      </c>
      <c r="E2321" s="8">
        <f>IFERROR(__xludf.DUMMYFUNCTION("GOOGLETRANSLATE(B2353, ""zh"", ""vi"")"),"#VALUE!")</f>
        <v/>
      </c>
      <c r="H2321" s="9">
        <f>G2353=B2353</f>
        <v/>
      </c>
    </row>
    <row r="2322">
      <c r="B2322" s="11" t="n"/>
      <c r="C2322" s="8">
        <f>pinyin(B2354)</f>
        <v/>
      </c>
      <c r="E2322" s="8">
        <f>IFERROR(__xludf.DUMMYFUNCTION("GOOGLETRANSLATE(B2354, ""zh"", ""vi"")"),"#VALUE!")</f>
        <v/>
      </c>
      <c r="H2322" s="9">
        <f>G2354=B2354</f>
        <v/>
      </c>
    </row>
    <row r="2323">
      <c r="B2323" s="11" t="n"/>
      <c r="C2323" s="8">
        <f>pinyin(B2355)</f>
        <v/>
      </c>
      <c r="E2323" s="8">
        <f>IFERROR(__xludf.DUMMYFUNCTION("GOOGLETRANSLATE(B2355, ""zh"", ""vi"")"),"#VALUE!")</f>
        <v/>
      </c>
      <c r="H2323" s="9">
        <f>G2355=B2355</f>
        <v/>
      </c>
    </row>
    <row r="2324">
      <c r="B2324" s="11" t="n"/>
      <c r="C2324" s="8">
        <f>pinyin(B2356)</f>
        <v/>
      </c>
      <c r="E2324" s="8">
        <f>IFERROR(__xludf.DUMMYFUNCTION("GOOGLETRANSLATE(B2356, ""zh"", ""vi"")"),"#VALUE!")</f>
        <v/>
      </c>
      <c r="H2324" s="9">
        <f>G2356=B2356</f>
        <v/>
      </c>
    </row>
    <row r="2325">
      <c r="B2325" s="11" t="n"/>
      <c r="C2325" s="8">
        <f>pinyin(B2357)</f>
        <v/>
      </c>
      <c r="E2325" s="8">
        <f>IFERROR(__xludf.DUMMYFUNCTION("GOOGLETRANSLATE(B2357, ""zh"", ""vi"")"),"#VALUE!")</f>
        <v/>
      </c>
      <c r="H2325" s="9">
        <f>G2357=B2357</f>
        <v/>
      </c>
    </row>
    <row r="2326">
      <c r="B2326" s="11" t="n"/>
      <c r="C2326" s="8">
        <f>pinyin(B2358)</f>
        <v/>
      </c>
      <c r="E2326" s="8">
        <f>IFERROR(__xludf.DUMMYFUNCTION("GOOGLETRANSLATE(B2358, ""zh"", ""vi"")"),"#VALUE!")</f>
        <v/>
      </c>
      <c r="H2326" s="9">
        <f>G2358=B2358</f>
        <v/>
      </c>
    </row>
    <row r="2327">
      <c r="B2327" s="11" t="n"/>
      <c r="C2327" s="8">
        <f>pinyin(B2359)</f>
        <v/>
      </c>
      <c r="E2327" s="8">
        <f>IFERROR(__xludf.DUMMYFUNCTION("GOOGLETRANSLATE(B2359, ""zh"", ""vi"")"),"#VALUE!")</f>
        <v/>
      </c>
      <c r="H2327" s="9">
        <f>G2359=B2359</f>
        <v/>
      </c>
    </row>
    <row r="2328">
      <c r="B2328" s="11" t="n"/>
      <c r="C2328" s="8">
        <f>pinyin(B2360)</f>
        <v/>
      </c>
      <c r="E2328" s="8">
        <f>IFERROR(__xludf.DUMMYFUNCTION("GOOGLETRANSLATE(B2360, ""zh"", ""vi"")"),"#VALUE!")</f>
        <v/>
      </c>
      <c r="H2328" s="9">
        <f>G2360=B2360</f>
        <v/>
      </c>
    </row>
    <row r="2329">
      <c r="B2329" s="11" t="n"/>
      <c r="C2329" s="8">
        <f>pinyin(B2361)</f>
        <v/>
      </c>
      <c r="E2329" s="8">
        <f>IFERROR(__xludf.DUMMYFUNCTION("GOOGLETRANSLATE(B2361, ""zh"", ""vi"")"),"#VALUE!")</f>
        <v/>
      </c>
      <c r="H2329" s="9">
        <f>G2361=B2361</f>
        <v/>
      </c>
    </row>
    <row r="2330">
      <c r="B2330" s="11" t="n"/>
      <c r="C2330" s="8">
        <f>pinyin(B2362)</f>
        <v/>
      </c>
      <c r="E2330" s="8">
        <f>IFERROR(__xludf.DUMMYFUNCTION("GOOGLETRANSLATE(B2362, ""zh"", ""vi"")"),"#VALUE!")</f>
        <v/>
      </c>
      <c r="H2330" s="9">
        <f>G2362=B2362</f>
        <v/>
      </c>
    </row>
    <row r="2331">
      <c r="B2331" s="11" t="n"/>
      <c r="C2331" s="8">
        <f>pinyin(B2363)</f>
        <v/>
      </c>
      <c r="E2331" s="8">
        <f>IFERROR(__xludf.DUMMYFUNCTION("GOOGLETRANSLATE(B2363, ""zh"", ""vi"")"),"#VALUE!")</f>
        <v/>
      </c>
      <c r="H2331" s="9">
        <f>G2363=B2363</f>
        <v/>
      </c>
    </row>
    <row r="2332">
      <c r="B2332" s="11" t="n"/>
      <c r="C2332" s="8">
        <f>pinyin(B2364)</f>
        <v/>
      </c>
      <c r="E2332" s="8">
        <f>IFERROR(__xludf.DUMMYFUNCTION("GOOGLETRANSLATE(B2364, ""zh"", ""vi"")"),"#VALUE!")</f>
        <v/>
      </c>
      <c r="H2332" s="9">
        <f>G2364=B2364</f>
        <v/>
      </c>
    </row>
    <row r="2333">
      <c r="B2333" s="11" t="n"/>
      <c r="C2333" s="8">
        <f>pinyin(B2365)</f>
        <v/>
      </c>
      <c r="E2333" s="8">
        <f>IFERROR(__xludf.DUMMYFUNCTION("GOOGLETRANSLATE(B2365, ""zh"", ""vi"")"),"#VALUE!")</f>
        <v/>
      </c>
      <c r="H2333" s="9">
        <f>G2365=B2365</f>
        <v/>
      </c>
    </row>
    <row r="2334">
      <c r="B2334" s="11" t="n"/>
      <c r="C2334" s="8">
        <f>pinyin(B2366)</f>
        <v/>
      </c>
      <c r="E2334" s="8">
        <f>IFERROR(__xludf.DUMMYFUNCTION("GOOGLETRANSLATE(B2366, ""zh"", ""vi"")"),"#VALUE!")</f>
        <v/>
      </c>
      <c r="H2334" s="9">
        <f>G2366=B2366</f>
        <v/>
      </c>
    </row>
    <row r="2335">
      <c r="B2335" s="11" t="n"/>
      <c r="C2335" s="8">
        <f>pinyin(B2367)</f>
        <v/>
      </c>
      <c r="E2335" s="8">
        <f>IFERROR(__xludf.DUMMYFUNCTION("GOOGLETRANSLATE(B2367, ""zh"", ""vi"")"),"#VALUE!")</f>
        <v/>
      </c>
      <c r="H2335" s="9">
        <f>G2367=B2367</f>
        <v/>
      </c>
    </row>
    <row r="2336">
      <c r="B2336" s="11" t="n"/>
      <c r="C2336" s="8">
        <f>pinyin(B2368)</f>
        <v/>
      </c>
      <c r="E2336" s="8">
        <f>IFERROR(__xludf.DUMMYFUNCTION("GOOGLETRANSLATE(B2368, ""zh"", ""vi"")"),"#VALUE!")</f>
        <v/>
      </c>
      <c r="H2336" s="9">
        <f>G2368=B2368</f>
        <v/>
      </c>
    </row>
    <row r="2337">
      <c r="B2337" s="11" t="n"/>
      <c r="C2337" s="8">
        <f>pinyin(B2369)</f>
        <v/>
      </c>
      <c r="E2337" s="8">
        <f>IFERROR(__xludf.DUMMYFUNCTION("GOOGLETRANSLATE(B2369, ""zh"", ""vi"")"),"#VALUE!")</f>
        <v/>
      </c>
      <c r="H2337" s="9">
        <f>G2369=B2369</f>
        <v/>
      </c>
    </row>
    <row r="2338">
      <c r="B2338" s="11" t="n"/>
      <c r="C2338" s="8">
        <f>pinyin(B2370)</f>
        <v/>
      </c>
      <c r="E2338" s="8">
        <f>IFERROR(__xludf.DUMMYFUNCTION("GOOGLETRANSLATE(B2370, ""zh"", ""vi"")"),"#VALUE!")</f>
        <v/>
      </c>
      <c r="H2338" s="9">
        <f>G2370=B2370</f>
        <v/>
      </c>
    </row>
    <row r="2339">
      <c r="B2339" s="11" t="n"/>
      <c r="C2339" s="8">
        <f>pinyin(B2371)</f>
        <v/>
      </c>
      <c r="E2339" s="8">
        <f>IFERROR(__xludf.DUMMYFUNCTION("GOOGLETRANSLATE(B2371, ""zh"", ""vi"")"),"#VALUE!")</f>
        <v/>
      </c>
      <c r="H2339" s="9">
        <f>G2371=B2371</f>
        <v/>
      </c>
    </row>
    <row r="2340">
      <c r="B2340" s="11" t="n"/>
      <c r="C2340" s="8">
        <f>pinyin(B2372)</f>
        <v/>
      </c>
      <c r="E2340" s="8">
        <f>IFERROR(__xludf.DUMMYFUNCTION("GOOGLETRANSLATE(B2372, ""zh"", ""vi"")"),"#VALUE!")</f>
        <v/>
      </c>
      <c r="H2340" s="9">
        <f>G2372=B2372</f>
        <v/>
      </c>
    </row>
    <row r="2341">
      <c r="B2341" s="11" t="n"/>
      <c r="C2341" s="8">
        <f>pinyin(B2373)</f>
        <v/>
      </c>
      <c r="E2341" s="8">
        <f>IFERROR(__xludf.DUMMYFUNCTION("GOOGLETRANSLATE(B2373, ""zh"", ""vi"")"),"#VALUE!")</f>
        <v/>
      </c>
      <c r="H2341" s="9">
        <f>G2373=B2373</f>
        <v/>
      </c>
    </row>
    <row r="2342">
      <c r="B2342" s="11" t="n"/>
      <c r="C2342" s="8">
        <f>pinyin(B2374)</f>
        <v/>
      </c>
      <c r="E2342" s="8">
        <f>IFERROR(__xludf.DUMMYFUNCTION("GOOGLETRANSLATE(B2374, ""zh"", ""vi"")"),"#VALUE!")</f>
        <v/>
      </c>
      <c r="H2342" s="9">
        <f>G2374=B2374</f>
        <v/>
      </c>
    </row>
    <row r="2343">
      <c r="B2343" s="11" t="n"/>
      <c r="C2343" s="8">
        <f>pinyin(B2375)</f>
        <v/>
      </c>
      <c r="E2343" s="8">
        <f>IFERROR(__xludf.DUMMYFUNCTION("GOOGLETRANSLATE(B2375, ""zh"", ""vi"")"),"#VALUE!")</f>
        <v/>
      </c>
      <c r="H2343" s="9">
        <f>G2375=B2375</f>
        <v/>
      </c>
    </row>
    <row r="2344">
      <c r="B2344" s="11" t="n"/>
      <c r="C2344" s="8">
        <f>pinyin(B2376)</f>
        <v/>
      </c>
      <c r="E2344" s="8">
        <f>IFERROR(__xludf.DUMMYFUNCTION("GOOGLETRANSLATE(B2376, ""zh"", ""vi"")"),"#VALUE!")</f>
        <v/>
      </c>
      <c r="H2344" s="9">
        <f>G2376=B2376</f>
        <v/>
      </c>
    </row>
    <row r="2345">
      <c r="B2345" s="11" t="n"/>
      <c r="C2345" s="8">
        <f>pinyin(B2377)</f>
        <v/>
      </c>
      <c r="E2345" s="8">
        <f>IFERROR(__xludf.DUMMYFUNCTION("GOOGLETRANSLATE(B2377, ""zh"", ""vi"")"),"#VALUE!")</f>
        <v/>
      </c>
      <c r="H2345" s="9">
        <f>G2377=B2377</f>
        <v/>
      </c>
    </row>
    <row r="2346">
      <c r="B2346" s="11" t="n"/>
      <c r="C2346" s="8">
        <f>pinyin(B2378)</f>
        <v/>
      </c>
      <c r="E2346" s="8">
        <f>IFERROR(__xludf.DUMMYFUNCTION("GOOGLETRANSLATE(B2378, ""zh"", ""vi"")"),"#VALUE!")</f>
        <v/>
      </c>
      <c r="H2346" s="9">
        <f>G2378=B2378</f>
        <v/>
      </c>
    </row>
    <row r="2347">
      <c r="B2347" s="11" t="n"/>
      <c r="C2347" s="8">
        <f>pinyin(B2379)</f>
        <v/>
      </c>
      <c r="E2347" s="8">
        <f>IFERROR(__xludf.DUMMYFUNCTION("GOOGLETRANSLATE(B2379, ""zh"", ""vi"")"),"#VALUE!")</f>
        <v/>
      </c>
      <c r="H2347" s="9">
        <f>G2379=B2379</f>
        <v/>
      </c>
    </row>
    <row r="2348">
      <c r="B2348" s="11" t="n"/>
      <c r="C2348" s="8">
        <f>pinyin(B2380)</f>
        <v/>
      </c>
      <c r="E2348" s="8">
        <f>IFERROR(__xludf.DUMMYFUNCTION("GOOGLETRANSLATE(B2380, ""zh"", ""vi"")"),"#VALUE!")</f>
        <v/>
      </c>
      <c r="H2348" s="9">
        <f>G2380=B2380</f>
        <v/>
      </c>
    </row>
    <row r="2349">
      <c r="B2349" s="11" t="n"/>
      <c r="C2349" s="8">
        <f>pinyin(B2381)</f>
        <v/>
      </c>
      <c r="E2349" s="8">
        <f>IFERROR(__xludf.DUMMYFUNCTION("GOOGLETRANSLATE(B2381, ""zh"", ""vi"")"),"#VALUE!")</f>
        <v/>
      </c>
      <c r="H2349" s="9">
        <f>G2381=B2381</f>
        <v/>
      </c>
    </row>
    <row r="2350">
      <c r="B2350" s="11" t="n"/>
      <c r="C2350" s="8">
        <f>pinyin(B2382)</f>
        <v/>
      </c>
      <c r="E2350" s="8">
        <f>IFERROR(__xludf.DUMMYFUNCTION("GOOGLETRANSLATE(B2382, ""zh"", ""vi"")"),"#VALUE!")</f>
        <v/>
      </c>
      <c r="H2350" s="9">
        <f>G2382=B2382</f>
        <v/>
      </c>
    </row>
    <row r="2351">
      <c r="B2351" s="11" t="n"/>
      <c r="C2351" s="8">
        <f>pinyin(B2383)</f>
        <v/>
      </c>
      <c r="E2351" s="8">
        <f>IFERROR(__xludf.DUMMYFUNCTION("GOOGLETRANSLATE(B2383, ""zh"", ""vi"")"),"#VALUE!")</f>
        <v/>
      </c>
      <c r="H2351" s="9">
        <f>G2383=B2383</f>
        <v/>
      </c>
    </row>
    <row r="2352">
      <c r="B2352" s="11" t="n"/>
      <c r="C2352" s="8">
        <f>pinyin(B2384)</f>
        <v/>
      </c>
      <c r="E2352" s="8">
        <f>IFERROR(__xludf.DUMMYFUNCTION("GOOGLETRANSLATE(B2384, ""zh"", ""vi"")"),"#VALUE!")</f>
        <v/>
      </c>
      <c r="H2352" s="9">
        <f>G2384=B2384</f>
        <v/>
      </c>
    </row>
    <row r="2353">
      <c r="B2353" s="11" t="n"/>
      <c r="C2353" s="8">
        <f>pinyin(B2385)</f>
        <v/>
      </c>
      <c r="E2353" s="8">
        <f>IFERROR(__xludf.DUMMYFUNCTION("GOOGLETRANSLATE(B2385, ""zh"", ""vi"")"),"#VALUE!")</f>
        <v/>
      </c>
      <c r="H2353" s="9">
        <f>G2385=B2385</f>
        <v/>
      </c>
    </row>
    <row r="2354">
      <c r="B2354" s="11" t="n"/>
      <c r="C2354" s="8">
        <f>pinyin(B2386)</f>
        <v/>
      </c>
      <c r="E2354" s="8">
        <f>IFERROR(__xludf.DUMMYFUNCTION("GOOGLETRANSLATE(B2386, ""zh"", ""vi"")"),"#VALUE!")</f>
        <v/>
      </c>
      <c r="H2354" s="9">
        <f>G2386=B2386</f>
        <v/>
      </c>
    </row>
    <row r="2355">
      <c r="B2355" s="11" t="n"/>
      <c r="C2355" s="8">
        <f>pinyin(B2387)</f>
        <v/>
      </c>
      <c r="E2355" s="8">
        <f>IFERROR(__xludf.DUMMYFUNCTION("GOOGLETRANSLATE(B2387, ""zh"", ""vi"")"),"#VALUE!")</f>
        <v/>
      </c>
      <c r="H2355" s="9">
        <f>G2387=B2387</f>
        <v/>
      </c>
    </row>
    <row r="2356">
      <c r="B2356" s="11" t="n"/>
      <c r="C2356" s="8">
        <f>pinyin(B2388)</f>
        <v/>
      </c>
      <c r="E2356" s="8">
        <f>IFERROR(__xludf.DUMMYFUNCTION("GOOGLETRANSLATE(B2388, ""zh"", ""vi"")"),"#VALUE!")</f>
        <v/>
      </c>
      <c r="H2356" s="9">
        <f>G2388=B2388</f>
        <v/>
      </c>
    </row>
    <row r="2357">
      <c r="B2357" s="11" t="n"/>
      <c r="C2357" s="8">
        <f>pinyin(B2389)</f>
        <v/>
      </c>
      <c r="E2357" s="8">
        <f>IFERROR(__xludf.DUMMYFUNCTION("GOOGLETRANSLATE(B2389, ""zh"", ""vi"")"),"#VALUE!")</f>
        <v/>
      </c>
      <c r="H2357" s="9">
        <f>G2389=B2389</f>
        <v/>
      </c>
    </row>
    <row r="2358">
      <c r="B2358" s="11" t="n"/>
      <c r="C2358" s="8">
        <f>pinyin(B2390)</f>
        <v/>
      </c>
      <c r="E2358" s="8">
        <f>IFERROR(__xludf.DUMMYFUNCTION("GOOGLETRANSLATE(B2390, ""zh"", ""vi"")"),"#VALUE!")</f>
        <v/>
      </c>
      <c r="H2358" s="9">
        <f>G2390=B2390</f>
        <v/>
      </c>
    </row>
    <row r="2359">
      <c r="B2359" s="11" t="n"/>
      <c r="C2359" s="8">
        <f>pinyin(B2391)</f>
        <v/>
      </c>
      <c r="E2359" s="8">
        <f>IFERROR(__xludf.DUMMYFUNCTION("GOOGLETRANSLATE(B2391, ""zh"", ""vi"")"),"#VALUE!")</f>
        <v/>
      </c>
      <c r="H2359" s="9">
        <f>G2391=B2391</f>
        <v/>
      </c>
    </row>
    <row r="2360">
      <c r="B2360" s="11" t="n"/>
      <c r="C2360" s="8">
        <f>pinyin(B2392)</f>
        <v/>
      </c>
      <c r="E2360" s="8">
        <f>IFERROR(__xludf.DUMMYFUNCTION("GOOGLETRANSLATE(B2392, ""zh"", ""vi"")"),"#VALUE!")</f>
        <v/>
      </c>
      <c r="H2360" s="9">
        <f>G2392=B2392</f>
        <v/>
      </c>
    </row>
    <row r="2361">
      <c r="B2361" s="11" t="n"/>
      <c r="C2361" s="8">
        <f>pinyin(B2393)</f>
        <v/>
      </c>
      <c r="E2361" s="8">
        <f>IFERROR(__xludf.DUMMYFUNCTION("GOOGLETRANSLATE(B2393, ""zh"", ""vi"")"),"#VALUE!")</f>
        <v/>
      </c>
      <c r="H2361" s="9">
        <f>G2393=B2393</f>
        <v/>
      </c>
    </row>
    <row r="2362">
      <c r="B2362" s="11" t="n"/>
      <c r="C2362" s="8">
        <f>pinyin(B2394)</f>
        <v/>
      </c>
      <c r="E2362" s="8">
        <f>IFERROR(__xludf.DUMMYFUNCTION("GOOGLETRANSLATE(B2394, ""zh"", ""vi"")"),"#VALUE!")</f>
        <v/>
      </c>
      <c r="H2362" s="9">
        <f>G2394=B2394</f>
        <v/>
      </c>
    </row>
    <row r="2363">
      <c r="B2363" s="11" t="n"/>
      <c r="C2363" s="8">
        <f>pinyin(B2395)</f>
        <v/>
      </c>
      <c r="E2363" s="8">
        <f>IFERROR(__xludf.DUMMYFUNCTION("GOOGLETRANSLATE(B2395, ""zh"", ""vi"")"),"#VALUE!")</f>
        <v/>
      </c>
      <c r="H2363" s="9">
        <f>G2395=B2395</f>
        <v/>
      </c>
    </row>
    <row r="2364">
      <c r="B2364" s="11" t="n"/>
      <c r="C2364" s="8">
        <f>pinyin(B2396)</f>
        <v/>
      </c>
      <c r="E2364" s="8">
        <f>IFERROR(__xludf.DUMMYFUNCTION("GOOGLETRANSLATE(B2396, ""zh"", ""vi"")"),"#VALUE!")</f>
        <v/>
      </c>
      <c r="H2364" s="9">
        <f>G2396=B2396</f>
        <v/>
      </c>
    </row>
    <row r="2365">
      <c r="B2365" s="11" t="n"/>
      <c r="C2365" s="8">
        <f>pinyin(B2397)</f>
        <v/>
      </c>
      <c r="E2365" s="8">
        <f>IFERROR(__xludf.DUMMYFUNCTION("GOOGLETRANSLATE(B2397, ""zh"", ""vi"")"),"#VALUE!")</f>
        <v/>
      </c>
      <c r="H2365" s="9">
        <f>G2397=B2397</f>
        <v/>
      </c>
    </row>
    <row r="2366">
      <c r="B2366" s="11" t="n"/>
      <c r="C2366" s="8">
        <f>pinyin(B2398)</f>
        <v/>
      </c>
      <c r="E2366" s="8">
        <f>IFERROR(__xludf.DUMMYFUNCTION("GOOGLETRANSLATE(B2398, ""zh"", ""vi"")"),"#VALUE!")</f>
        <v/>
      </c>
      <c r="H2366" s="9">
        <f>G2398=B2398</f>
        <v/>
      </c>
    </row>
    <row r="2367">
      <c r="B2367" s="11" t="n"/>
      <c r="C2367" s="8">
        <f>pinyin(B2399)</f>
        <v/>
      </c>
      <c r="E2367" s="8">
        <f>IFERROR(__xludf.DUMMYFUNCTION("GOOGLETRANSLATE(B2399, ""zh"", ""vi"")"),"#VALUE!")</f>
        <v/>
      </c>
      <c r="H2367" s="9">
        <f>G2399=B2399</f>
        <v/>
      </c>
    </row>
    <row r="2368">
      <c r="B2368" s="11" t="n"/>
      <c r="C2368" s="8">
        <f>pinyin(B2400)</f>
        <v/>
      </c>
      <c r="E2368" s="8">
        <f>IFERROR(__xludf.DUMMYFUNCTION("GOOGLETRANSLATE(B2400, ""zh"", ""vi"")"),"#VALUE!")</f>
        <v/>
      </c>
      <c r="H2368" s="9">
        <f>G2400=B2400</f>
        <v/>
      </c>
    </row>
    <row r="2369">
      <c r="B2369" s="11" t="n"/>
      <c r="C2369" s="8">
        <f>pinyin(B2401)</f>
        <v/>
      </c>
      <c r="E2369" s="8">
        <f>IFERROR(__xludf.DUMMYFUNCTION("GOOGLETRANSLATE(B2401, ""zh"", ""vi"")"),"#VALUE!")</f>
        <v/>
      </c>
      <c r="H2369" s="9">
        <f>G2401=B2401</f>
        <v/>
      </c>
    </row>
    <row r="2370">
      <c r="B2370" s="11" t="n"/>
      <c r="C2370" s="8">
        <f>pinyin(B2402)</f>
        <v/>
      </c>
      <c r="E2370" s="8">
        <f>IFERROR(__xludf.DUMMYFUNCTION("GOOGLETRANSLATE(B2402, ""zh"", ""vi"")"),"#VALUE!")</f>
        <v/>
      </c>
      <c r="H2370" s="9">
        <f>G2402=B2402</f>
        <v/>
      </c>
    </row>
    <row r="2371">
      <c r="B2371" s="11" t="n"/>
      <c r="C2371" s="8">
        <f>pinyin(B2403)</f>
        <v/>
      </c>
      <c r="E2371" s="8">
        <f>IFERROR(__xludf.DUMMYFUNCTION("GOOGLETRANSLATE(B2403, ""zh"", ""vi"")"),"#VALUE!")</f>
        <v/>
      </c>
      <c r="H2371" s="9">
        <f>G2403=B2403</f>
        <v/>
      </c>
    </row>
    <row r="2372">
      <c r="B2372" s="11" t="n"/>
      <c r="C2372" s="8">
        <f>pinyin(B2404)</f>
        <v/>
      </c>
      <c r="E2372" s="8">
        <f>IFERROR(__xludf.DUMMYFUNCTION("GOOGLETRANSLATE(B2404, ""zh"", ""vi"")"),"#VALUE!")</f>
        <v/>
      </c>
      <c r="H2372" s="9">
        <f>G2404=B2404</f>
        <v/>
      </c>
    </row>
    <row r="2373">
      <c r="B2373" s="11" t="n"/>
      <c r="C2373" s="8">
        <f>pinyin(B2405)</f>
        <v/>
      </c>
      <c r="E2373" s="8">
        <f>IFERROR(__xludf.DUMMYFUNCTION("GOOGLETRANSLATE(B2405, ""zh"", ""vi"")"),"#VALUE!")</f>
        <v/>
      </c>
      <c r="H2373" s="9">
        <f>G2405=B2405</f>
        <v/>
      </c>
    </row>
    <row r="2374">
      <c r="B2374" s="11" t="n"/>
      <c r="C2374" s="8">
        <f>pinyin(B2406)</f>
        <v/>
      </c>
      <c r="E2374" s="8">
        <f>IFERROR(__xludf.DUMMYFUNCTION("GOOGLETRANSLATE(B2406, ""zh"", ""vi"")"),"#VALUE!")</f>
        <v/>
      </c>
      <c r="H2374" s="9">
        <f>G2406=B2406</f>
        <v/>
      </c>
    </row>
    <row r="2375">
      <c r="B2375" s="11" t="n"/>
      <c r="C2375" s="8">
        <f>pinyin(B2407)</f>
        <v/>
      </c>
      <c r="E2375" s="8">
        <f>IFERROR(__xludf.DUMMYFUNCTION("GOOGLETRANSLATE(B2407, ""zh"", ""vi"")"),"#VALUE!")</f>
        <v/>
      </c>
      <c r="H2375" s="9">
        <f>G2407=B2407</f>
        <v/>
      </c>
    </row>
    <row r="2376">
      <c r="B2376" s="11" t="n"/>
      <c r="C2376" s="8">
        <f>pinyin(B2408)</f>
        <v/>
      </c>
      <c r="E2376" s="8">
        <f>IFERROR(__xludf.DUMMYFUNCTION("GOOGLETRANSLATE(B2408, ""zh"", ""vi"")"),"#VALUE!")</f>
        <v/>
      </c>
      <c r="H2376" s="9">
        <f>G2408=B2408</f>
        <v/>
      </c>
    </row>
    <row r="2377">
      <c r="B2377" s="11" t="n"/>
      <c r="C2377" s="8">
        <f>pinyin(B2409)</f>
        <v/>
      </c>
      <c r="E2377" s="8">
        <f>IFERROR(__xludf.DUMMYFUNCTION("GOOGLETRANSLATE(B2409, ""zh"", ""vi"")"),"#VALUE!")</f>
        <v/>
      </c>
      <c r="H2377" s="9">
        <f>G2409=B2409</f>
        <v/>
      </c>
    </row>
    <row r="2378">
      <c r="B2378" s="11" t="n"/>
      <c r="C2378" s="8">
        <f>pinyin(B2410)</f>
        <v/>
      </c>
      <c r="E2378" s="8">
        <f>IFERROR(__xludf.DUMMYFUNCTION("GOOGLETRANSLATE(B2410, ""zh"", ""vi"")"),"#VALUE!")</f>
        <v/>
      </c>
      <c r="H2378" s="9">
        <f>G2410=B2410</f>
        <v/>
      </c>
    </row>
    <row r="2379">
      <c r="B2379" s="11" t="n"/>
      <c r="C2379" s="8">
        <f>pinyin(B2411)</f>
        <v/>
      </c>
      <c r="E2379" s="8">
        <f>IFERROR(__xludf.DUMMYFUNCTION("GOOGLETRANSLATE(B2411, ""zh"", ""vi"")"),"#VALUE!")</f>
        <v/>
      </c>
      <c r="H2379" s="9">
        <f>G2411=B2411</f>
        <v/>
      </c>
    </row>
    <row r="2380">
      <c r="B2380" s="11" t="n"/>
      <c r="C2380" s="8">
        <f>pinyin(B2412)</f>
        <v/>
      </c>
      <c r="E2380" s="8">
        <f>IFERROR(__xludf.DUMMYFUNCTION("GOOGLETRANSLATE(B2412, ""zh"", ""vi"")"),"#VALUE!")</f>
        <v/>
      </c>
      <c r="H2380" s="9">
        <f>G2412=B2412</f>
        <v/>
      </c>
    </row>
    <row r="2381">
      <c r="B2381" s="11" t="n"/>
      <c r="C2381" s="8">
        <f>pinyin(B2413)</f>
        <v/>
      </c>
      <c r="E2381" s="8">
        <f>IFERROR(__xludf.DUMMYFUNCTION("GOOGLETRANSLATE(B2413, ""zh"", ""vi"")"),"#VALUE!")</f>
        <v/>
      </c>
      <c r="H2381" s="9">
        <f>G2413=B2413</f>
        <v/>
      </c>
    </row>
    <row r="2382">
      <c r="B2382" s="11" t="n"/>
      <c r="C2382" s="8">
        <f>pinyin(B2414)</f>
        <v/>
      </c>
      <c r="E2382" s="8">
        <f>IFERROR(__xludf.DUMMYFUNCTION("GOOGLETRANSLATE(B2414, ""zh"", ""vi"")"),"#VALUE!")</f>
        <v/>
      </c>
      <c r="H2382" s="9">
        <f>G2414=B2414</f>
        <v/>
      </c>
    </row>
    <row r="2383">
      <c r="B2383" s="11" t="n"/>
      <c r="C2383" s="8">
        <f>pinyin(B2415)</f>
        <v/>
      </c>
      <c r="E2383" s="8">
        <f>IFERROR(__xludf.DUMMYFUNCTION("GOOGLETRANSLATE(B2415, ""zh"", ""vi"")"),"#VALUE!")</f>
        <v/>
      </c>
      <c r="H2383" s="9">
        <f>G2415=B2415</f>
        <v/>
      </c>
    </row>
    <row r="2384">
      <c r="B2384" s="11" t="n"/>
      <c r="C2384" s="8">
        <f>pinyin(B2416)</f>
        <v/>
      </c>
      <c r="E2384" s="8">
        <f>IFERROR(__xludf.DUMMYFUNCTION("GOOGLETRANSLATE(B2416, ""zh"", ""vi"")"),"#VALUE!")</f>
        <v/>
      </c>
      <c r="H2384" s="9">
        <f>G2416=B2416</f>
        <v/>
      </c>
    </row>
    <row r="2385">
      <c r="B2385" s="11" t="n"/>
      <c r="C2385" s="8">
        <f>pinyin(B2417)</f>
        <v/>
      </c>
      <c r="E2385" s="8">
        <f>IFERROR(__xludf.DUMMYFUNCTION("GOOGLETRANSLATE(B2417, ""zh"", ""vi"")"),"#VALUE!")</f>
        <v/>
      </c>
      <c r="H2385" s="9">
        <f>G2417=B2417</f>
        <v/>
      </c>
    </row>
    <row r="2386">
      <c r="B2386" s="11" t="n"/>
      <c r="C2386" s="8">
        <f>pinyin(B2418)</f>
        <v/>
      </c>
      <c r="E2386" s="8">
        <f>IFERROR(__xludf.DUMMYFUNCTION("GOOGLETRANSLATE(B2418, ""zh"", ""vi"")"),"#VALUE!")</f>
        <v/>
      </c>
      <c r="H2386" s="9">
        <f>G2418=B2418</f>
        <v/>
      </c>
    </row>
    <row r="2387">
      <c r="B2387" s="11" t="n"/>
      <c r="C2387" s="8">
        <f>pinyin(B2419)</f>
        <v/>
      </c>
      <c r="E2387" s="8">
        <f>IFERROR(__xludf.DUMMYFUNCTION("GOOGLETRANSLATE(B2419, ""zh"", ""vi"")"),"#VALUE!")</f>
        <v/>
      </c>
      <c r="H2387" s="9">
        <f>G2419=B2419</f>
        <v/>
      </c>
    </row>
    <row r="2388">
      <c r="B2388" s="11" t="n"/>
      <c r="C2388" s="8">
        <f>pinyin(B2420)</f>
        <v/>
      </c>
      <c r="E2388" s="8">
        <f>IFERROR(__xludf.DUMMYFUNCTION("GOOGLETRANSLATE(B2420, ""zh"", ""vi"")"),"#VALUE!")</f>
        <v/>
      </c>
      <c r="H2388" s="9">
        <f>G2420=B2420</f>
        <v/>
      </c>
    </row>
    <row r="2389">
      <c r="B2389" s="11" t="n"/>
      <c r="C2389" s="8">
        <f>pinyin(B2421)</f>
        <v/>
      </c>
      <c r="E2389" s="8">
        <f>IFERROR(__xludf.DUMMYFUNCTION("GOOGLETRANSLATE(B2421, ""zh"", ""vi"")"),"#VALUE!")</f>
        <v/>
      </c>
      <c r="H2389" s="9">
        <f>G2421=B2421</f>
        <v/>
      </c>
    </row>
    <row r="2390">
      <c r="B2390" s="11" t="n"/>
      <c r="C2390" s="8">
        <f>pinyin(B2422)</f>
        <v/>
      </c>
      <c r="E2390" s="8">
        <f>IFERROR(__xludf.DUMMYFUNCTION("GOOGLETRANSLATE(B2422, ""zh"", ""vi"")"),"#VALUE!")</f>
        <v/>
      </c>
      <c r="H2390" s="9">
        <f>G2422=B2422</f>
        <v/>
      </c>
    </row>
    <row r="2391">
      <c r="B2391" s="11" t="n"/>
      <c r="C2391" s="8">
        <f>pinyin(B2423)</f>
        <v/>
      </c>
      <c r="E2391" s="8">
        <f>IFERROR(__xludf.DUMMYFUNCTION("GOOGLETRANSLATE(B2423, ""zh"", ""vi"")"),"#VALUE!")</f>
        <v/>
      </c>
      <c r="H2391" s="9">
        <f>G2423=B2423</f>
        <v/>
      </c>
    </row>
    <row r="2392">
      <c r="B2392" s="11" t="n"/>
      <c r="C2392" s="8">
        <f>pinyin(B2424)</f>
        <v/>
      </c>
      <c r="E2392" s="8">
        <f>IFERROR(__xludf.DUMMYFUNCTION("GOOGLETRANSLATE(B2424, ""zh"", ""vi"")"),"#VALUE!")</f>
        <v/>
      </c>
      <c r="H2392" s="9">
        <f>G2424=B2424</f>
        <v/>
      </c>
    </row>
    <row r="2393">
      <c r="B2393" s="11" t="n"/>
      <c r="C2393" s="8">
        <f>pinyin(B2425)</f>
        <v/>
      </c>
      <c r="E2393" s="8">
        <f>IFERROR(__xludf.DUMMYFUNCTION("GOOGLETRANSLATE(B2425, ""zh"", ""vi"")"),"#VALUE!")</f>
        <v/>
      </c>
      <c r="H2393" s="9">
        <f>G2425=B2425</f>
        <v/>
      </c>
    </row>
    <row r="2394">
      <c r="B2394" s="11" t="n"/>
      <c r="C2394" s="8">
        <f>pinyin(B2426)</f>
        <v/>
      </c>
      <c r="E2394" s="8">
        <f>IFERROR(__xludf.DUMMYFUNCTION("GOOGLETRANSLATE(B2426, ""zh"", ""vi"")"),"#VALUE!")</f>
        <v/>
      </c>
      <c r="H2394" s="9">
        <f>G2426=B2426</f>
        <v/>
      </c>
    </row>
    <row r="2395">
      <c r="B2395" s="11" t="n"/>
      <c r="C2395" s="8">
        <f>pinyin(B2427)</f>
        <v/>
      </c>
      <c r="E2395" s="8">
        <f>IFERROR(__xludf.DUMMYFUNCTION("GOOGLETRANSLATE(B2427, ""zh"", ""vi"")"),"#VALUE!")</f>
        <v/>
      </c>
      <c r="H2395" s="9">
        <f>G2427=B2427</f>
        <v/>
      </c>
    </row>
    <row r="2396">
      <c r="B2396" s="11" t="n"/>
      <c r="C2396" s="8">
        <f>pinyin(B2428)</f>
        <v/>
      </c>
      <c r="E2396" s="8">
        <f>IFERROR(__xludf.DUMMYFUNCTION("GOOGLETRANSLATE(B2428, ""zh"", ""vi"")"),"#VALUE!")</f>
        <v/>
      </c>
      <c r="H2396" s="9">
        <f>G2428=B2428</f>
        <v/>
      </c>
    </row>
    <row r="2397">
      <c r="B2397" s="11" t="n"/>
      <c r="C2397" s="8">
        <f>pinyin(B2429)</f>
        <v/>
      </c>
      <c r="E2397" s="8">
        <f>IFERROR(__xludf.DUMMYFUNCTION("GOOGLETRANSLATE(B2429, ""zh"", ""vi"")"),"#VALUE!")</f>
        <v/>
      </c>
      <c r="H2397" s="9">
        <f>G2429=B2429</f>
        <v/>
      </c>
    </row>
    <row r="2398">
      <c r="B2398" s="11" t="n"/>
      <c r="C2398" s="8">
        <f>pinyin(B2430)</f>
        <v/>
      </c>
      <c r="E2398" s="8">
        <f>IFERROR(__xludf.DUMMYFUNCTION("GOOGLETRANSLATE(B2430, ""zh"", ""vi"")"),"#VALUE!")</f>
        <v/>
      </c>
      <c r="H2398" s="9">
        <f>G2430=B2430</f>
        <v/>
      </c>
    </row>
    <row r="2399">
      <c r="B2399" s="11" t="n"/>
      <c r="C2399" s="8">
        <f>pinyin(B2431)</f>
        <v/>
      </c>
      <c r="E2399" s="8">
        <f>IFERROR(__xludf.DUMMYFUNCTION("GOOGLETRANSLATE(B2431, ""zh"", ""vi"")"),"#VALUE!")</f>
        <v/>
      </c>
      <c r="H2399" s="9">
        <f>G2431=B2431</f>
        <v/>
      </c>
    </row>
    <row r="2400">
      <c r="B2400" s="11" t="n"/>
      <c r="C2400" s="8">
        <f>pinyin(B2432)</f>
        <v/>
      </c>
      <c r="E2400" s="8">
        <f>IFERROR(__xludf.DUMMYFUNCTION("GOOGLETRANSLATE(B2432, ""zh"", ""vi"")"),"#VALUE!")</f>
        <v/>
      </c>
      <c r="H2400" s="9">
        <f>G2432=B2432</f>
        <v/>
      </c>
    </row>
    <row r="2401">
      <c r="B2401" s="11" t="n"/>
      <c r="C2401" s="8">
        <f>pinyin(B2433)</f>
        <v/>
      </c>
      <c r="E2401" s="8">
        <f>IFERROR(__xludf.DUMMYFUNCTION("GOOGLETRANSLATE(B2433, ""zh"", ""vi"")"),"#VALUE!")</f>
        <v/>
      </c>
      <c r="H2401" s="9">
        <f>G2433=B2433</f>
        <v/>
      </c>
    </row>
    <row r="2402">
      <c r="B2402" s="11" t="n"/>
      <c r="C2402" s="8">
        <f>pinyin(B2434)</f>
        <v/>
      </c>
      <c r="E2402" s="8">
        <f>IFERROR(__xludf.DUMMYFUNCTION("GOOGLETRANSLATE(B2434, ""zh"", ""vi"")"),"#VALUE!")</f>
        <v/>
      </c>
      <c r="H2402" s="9">
        <f>G2434=B2434</f>
        <v/>
      </c>
    </row>
    <row r="2403">
      <c r="B2403" s="11" t="n"/>
      <c r="C2403" s="8">
        <f>pinyin(B2435)</f>
        <v/>
      </c>
      <c r="E2403" s="8">
        <f>IFERROR(__xludf.DUMMYFUNCTION("GOOGLETRANSLATE(B2435, ""zh"", ""vi"")"),"#VALUE!")</f>
        <v/>
      </c>
      <c r="H2403" s="9">
        <f>G2435=B2435</f>
        <v/>
      </c>
    </row>
    <row r="2404">
      <c r="B2404" s="11" t="n"/>
      <c r="C2404" s="8">
        <f>pinyin(B2436)</f>
        <v/>
      </c>
      <c r="E2404" s="8">
        <f>IFERROR(__xludf.DUMMYFUNCTION("GOOGLETRANSLATE(B2436, ""zh"", ""vi"")"),"#VALUE!")</f>
        <v/>
      </c>
      <c r="H2404" s="9">
        <f>G2436=B2436</f>
        <v/>
      </c>
    </row>
    <row r="2405">
      <c r="B2405" s="11" t="n"/>
      <c r="C2405" s="8">
        <f>pinyin(B2437)</f>
        <v/>
      </c>
      <c r="E2405" s="8">
        <f>IFERROR(__xludf.DUMMYFUNCTION("GOOGLETRANSLATE(B2437, ""zh"", ""vi"")"),"#VALUE!")</f>
        <v/>
      </c>
      <c r="H2405" s="9">
        <f>G2437=B2437</f>
        <v/>
      </c>
    </row>
    <row r="2406">
      <c r="B2406" s="11" t="n"/>
      <c r="C2406" s="8">
        <f>pinyin(B2438)</f>
        <v/>
      </c>
      <c r="E2406" s="8">
        <f>IFERROR(__xludf.DUMMYFUNCTION("GOOGLETRANSLATE(B2438, ""zh"", ""vi"")"),"#VALUE!")</f>
        <v/>
      </c>
      <c r="H2406" s="9">
        <f>G2438=B2438</f>
        <v/>
      </c>
    </row>
    <row r="2407">
      <c r="B2407" s="11" t="n"/>
      <c r="C2407" s="8">
        <f>pinyin(B2439)</f>
        <v/>
      </c>
      <c r="E2407" s="8">
        <f>IFERROR(__xludf.DUMMYFUNCTION("GOOGLETRANSLATE(B2439, ""zh"", ""vi"")"),"#VALUE!")</f>
        <v/>
      </c>
      <c r="H2407" s="9">
        <f>G2439=B2439</f>
        <v/>
      </c>
    </row>
    <row r="2408">
      <c r="B2408" s="11" t="n"/>
      <c r="C2408" s="8">
        <f>pinyin(B2440)</f>
        <v/>
      </c>
      <c r="E2408" s="8">
        <f>IFERROR(__xludf.DUMMYFUNCTION("GOOGLETRANSLATE(B2440, ""zh"", ""vi"")"),"#VALUE!")</f>
        <v/>
      </c>
      <c r="H2408" s="9">
        <f>G2440=B2440</f>
        <v/>
      </c>
    </row>
    <row r="2409">
      <c r="B2409" s="11" t="n"/>
      <c r="C2409" s="8">
        <f>pinyin(B2441)</f>
        <v/>
      </c>
      <c r="E2409" s="8">
        <f>IFERROR(__xludf.DUMMYFUNCTION("GOOGLETRANSLATE(B2441, ""zh"", ""vi"")"),"#VALUE!")</f>
        <v/>
      </c>
      <c r="H2409" s="9">
        <f>G2441=B2441</f>
        <v/>
      </c>
    </row>
    <row r="2410">
      <c r="B2410" s="11" t="n"/>
      <c r="C2410" s="8">
        <f>pinyin(B2442)</f>
        <v/>
      </c>
      <c r="E2410" s="8">
        <f>IFERROR(__xludf.DUMMYFUNCTION("GOOGLETRANSLATE(B2442, ""zh"", ""vi"")"),"#VALUE!")</f>
        <v/>
      </c>
      <c r="H2410" s="9">
        <f>G2442=B2442</f>
        <v/>
      </c>
    </row>
    <row r="2411">
      <c r="B2411" s="11" t="n"/>
      <c r="C2411" s="8">
        <f>pinyin(B2443)</f>
        <v/>
      </c>
      <c r="E2411" s="8">
        <f>IFERROR(__xludf.DUMMYFUNCTION("GOOGLETRANSLATE(B2443, ""zh"", ""vi"")"),"#VALUE!")</f>
        <v/>
      </c>
      <c r="H2411" s="9">
        <f>G2443=B2443</f>
        <v/>
      </c>
    </row>
    <row r="2412">
      <c r="B2412" s="11" t="n"/>
      <c r="C2412" s="8">
        <f>pinyin(B2444)</f>
        <v/>
      </c>
      <c r="E2412" s="8">
        <f>IFERROR(__xludf.DUMMYFUNCTION("GOOGLETRANSLATE(B2444, ""zh"", ""vi"")"),"#VALUE!")</f>
        <v/>
      </c>
      <c r="H2412" s="9">
        <f>G2444=B2444</f>
        <v/>
      </c>
    </row>
    <row r="2413">
      <c r="B2413" s="11" t="n"/>
      <c r="C2413" s="8">
        <f>pinyin(B2445)</f>
        <v/>
      </c>
      <c r="E2413" s="8">
        <f>IFERROR(__xludf.DUMMYFUNCTION("GOOGLETRANSLATE(B2445, ""zh"", ""vi"")"),"#VALUE!")</f>
        <v/>
      </c>
      <c r="H2413" s="9">
        <f>G2445=B2445</f>
        <v/>
      </c>
    </row>
    <row r="2414">
      <c r="B2414" s="11" t="n"/>
      <c r="C2414" s="8">
        <f>pinyin(B2446)</f>
        <v/>
      </c>
      <c r="E2414" s="8">
        <f>IFERROR(__xludf.DUMMYFUNCTION("GOOGLETRANSLATE(B2446, ""zh"", ""vi"")"),"#VALUE!")</f>
        <v/>
      </c>
      <c r="H2414" s="9">
        <f>G2446=B2446</f>
        <v/>
      </c>
    </row>
    <row r="2415">
      <c r="B2415" s="11" t="n"/>
      <c r="C2415" s="8">
        <f>pinyin(B2447)</f>
        <v/>
      </c>
      <c r="E2415" s="8">
        <f>IFERROR(__xludf.DUMMYFUNCTION("GOOGLETRANSLATE(B2447, ""zh"", ""vi"")"),"#VALUE!")</f>
        <v/>
      </c>
      <c r="H2415" s="9">
        <f>G2447=B2447</f>
        <v/>
      </c>
    </row>
    <row r="2416">
      <c r="B2416" s="11" t="n"/>
      <c r="C2416" s="8">
        <f>pinyin(B2448)</f>
        <v/>
      </c>
      <c r="E2416" s="8">
        <f>IFERROR(__xludf.DUMMYFUNCTION("GOOGLETRANSLATE(B2448, ""zh"", ""vi"")"),"#VALUE!")</f>
        <v/>
      </c>
      <c r="H2416" s="9">
        <f>G2448=B2448</f>
        <v/>
      </c>
    </row>
    <row r="2417">
      <c r="B2417" s="11" t="n"/>
      <c r="C2417" s="8">
        <f>pinyin(B2449)</f>
        <v/>
      </c>
      <c r="E2417" s="8">
        <f>IFERROR(__xludf.DUMMYFUNCTION("GOOGLETRANSLATE(B2449, ""zh"", ""vi"")"),"#VALUE!")</f>
        <v/>
      </c>
      <c r="H2417" s="9">
        <f>G2449=B2449</f>
        <v/>
      </c>
    </row>
    <row r="2418">
      <c r="B2418" s="11" t="n"/>
      <c r="C2418" s="8">
        <f>pinyin(B2450)</f>
        <v/>
      </c>
      <c r="E2418" s="8">
        <f>IFERROR(__xludf.DUMMYFUNCTION("GOOGLETRANSLATE(B2450, ""zh"", ""vi"")"),"#VALUE!")</f>
        <v/>
      </c>
      <c r="H2418" s="9">
        <f>G2450=B2450</f>
        <v/>
      </c>
    </row>
    <row r="2419">
      <c r="B2419" s="11" t="n"/>
      <c r="C2419" s="8">
        <f>pinyin(B2451)</f>
        <v/>
      </c>
      <c r="E2419" s="8">
        <f>IFERROR(__xludf.DUMMYFUNCTION("GOOGLETRANSLATE(B2451, ""zh"", ""vi"")"),"#VALUE!")</f>
        <v/>
      </c>
      <c r="H2419" s="9">
        <f>G2451=B2451</f>
        <v/>
      </c>
    </row>
    <row r="2420">
      <c r="B2420" s="11" t="n"/>
      <c r="C2420" s="8">
        <f>pinyin(B2452)</f>
        <v/>
      </c>
      <c r="E2420" s="8">
        <f>IFERROR(__xludf.DUMMYFUNCTION("GOOGLETRANSLATE(B2452, ""zh"", ""vi"")"),"#VALUE!")</f>
        <v/>
      </c>
      <c r="H2420" s="9">
        <f>G2452=B2452</f>
        <v/>
      </c>
    </row>
    <row r="2421">
      <c r="B2421" s="11" t="n"/>
      <c r="C2421" s="8">
        <f>pinyin(B2453)</f>
        <v/>
      </c>
      <c r="E2421" s="8">
        <f>IFERROR(__xludf.DUMMYFUNCTION("GOOGLETRANSLATE(B2453, ""zh"", ""vi"")"),"#VALUE!")</f>
        <v/>
      </c>
      <c r="H2421" s="9">
        <f>G2453=B2453</f>
        <v/>
      </c>
    </row>
    <row r="2422">
      <c r="B2422" s="11" t="n"/>
      <c r="C2422" s="8">
        <f>pinyin(B2454)</f>
        <v/>
      </c>
      <c r="E2422" s="8">
        <f>IFERROR(__xludf.DUMMYFUNCTION("GOOGLETRANSLATE(B2454, ""zh"", ""vi"")"),"#VALUE!")</f>
        <v/>
      </c>
      <c r="H2422" s="9">
        <f>G2454=B2454</f>
        <v/>
      </c>
    </row>
    <row r="2423">
      <c r="B2423" s="11" t="n"/>
      <c r="C2423" s="8">
        <f>pinyin(B2455)</f>
        <v/>
      </c>
      <c r="E2423" s="8">
        <f>IFERROR(__xludf.DUMMYFUNCTION("GOOGLETRANSLATE(B2455, ""zh"", ""vi"")"),"#VALUE!")</f>
        <v/>
      </c>
      <c r="H2423" s="9">
        <f>G2455=B2455</f>
        <v/>
      </c>
    </row>
    <row r="2424">
      <c r="B2424" s="11" t="n"/>
      <c r="C2424" s="8">
        <f>pinyin(B2456)</f>
        <v/>
      </c>
      <c r="E2424" s="8">
        <f>IFERROR(__xludf.DUMMYFUNCTION("GOOGLETRANSLATE(B2456, ""zh"", ""vi"")"),"#VALUE!")</f>
        <v/>
      </c>
      <c r="H2424" s="9">
        <f>G2456=B2456</f>
        <v/>
      </c>
    </row>
    <row r="2425">
      <c r="B2425" s="11" t="n"/>
      <c r="C2425" s="8">
        <f>pinyin(B2457)</f>
        <v/>
      </c>
      <c r="E2425" s="8">
        <f>IFERROR(__xludf.DUMMYFUNCTION("GOOGLETRANSLATE(B2457, ""zh"", ""vi"")"),"#VALUE!")</f>
        <v/>
      </c>
      <c r="H2425" s="9">
        <f>G2457=B2457</f>
        <v/>
      </c>
    </row>
    <row r="2426">
      <c r="B2426" s="11" t="n"/>
      <c r="C2426" s="8">
        <f>pinyin(B2458)</f>
        <v/>
      </c>
      <c r="E2426" s="8">
        <f>IFERROR(__xludf.DUMMYFUNCTION("GOOGLETRANSLATE(B2458, ""zh"", ""vi"")"),"#VALUE!")</f>
        <v/>
      </c>
      <c r="H2426" s="9">
        <f>G2458=B2458</f>
        <v/>
      </c>
    </row>
    <row r="2427">
      <c r="B2427" s="11" t="n"/>
      <c r="C2427" s="8">
        <f>pinyin(B2459)</f>
        <v/>
      </c>
      <c r="E2427" s="8">
        <f>IFERROR(__xludf.DUMMYFUNCTION("GOOGLETRANSLATE(B2459, ""zh"", ""vi"")"),"#VALUE!")</f>
        <v/>
      </c>
      <c r="H2427" s="9">
        <f>G2459=B2459</f>
        <v/>
      </c>
    </row>
    <row r="2428">
      <c r="B2428" s="11" t="n"/>
      <c r="C2428" s="8">
        <f>pinyin(B2460)</f>
        <v/>
      </c>
      <c r="E2428" s="8">
        <f>IFERROR(__xludf.DUMMYFUNCTION("GOOGLETRANSLATE(B2460, ""zh"", ""vi"")"),"#VALUE!")</f>
        <v/>
      </c>
      <c r="H2428" s="9">
        <f>G2460=B2460</f>
        <v/>
      </c>
    </row>
    <row r="2429">
      <c r="B2429" s="11" t="n"/>
      <c r="C2429" s="8">
        <f>pinyin(B2461)</f>
        <v/>
      </c>
      <c r="E2429" s="8">
        <f>IFERROR(__xludf.DUMMYFUNCTION("GOOGLETRANSLATE(B2461, ""zh"", ""vi"")"),"#VALUE!")</f>
        <v/>
      </c>
      <c r="H2429" s="9">
        <f>G2461=B2461</f>
        <v/>
      </c>
    </row>
    <row r="2430">
      <c r="B2430" s="11" t="n"/>
      <c r="C2430" s="8">
        <f>pinyin(B2462)</f>
        <v/>
      </c>
      <c r="E2430" s="8">
        <f>IFERROR(__xludf.DUMMYFUNCTION("GOOGLETRANSLATE(B2462, ""zh"", ""vi"")"),"#VALUE!")</f>
        <v/>
      </c>
      <c r="H2430" s="9">
        <f>G2462=B2462</f>
        <v/>
      </c>
    </row>
    <row r="2431">
      <c r="B2431" s="11" t="n"/>
      <c r="C2431" s="8">
        <f>pinyin(B2463)</f>
        <v/>
      </c>
      <c r="E2431" s="8">
        <f>IFERROR(__xludf.DUMMYFUNCTION("GOOGLETRANSLATE(B2463, ""zh"", ""vi"")"),"#VALUE!")</f>
        <v/>
      </c>
      <c r="H2431" s="9">
        <f>G2463=B2463</f>
        <v/>
      </c>
    </row>
    <row r="2432">
      <c r="B2432" s="11" t="n"/>
      <c r="C2432" s="8">
        <f>pinyin(B2464)</f>
        <v/>
      </c>
      <c r="E2432" s="8">
        <f>IFERROR(__xludf.DUMMYFUNCTION("GOOGLETRANSLATE(B2464, ""zh"", ""vi"")"),"#VALUE!")</f>
        <v/>
      </c>
      <c r="H2432" s="9">
        <f>G2464=B2464</f>
        <v/>
      </c>
    </row>
    <row r="2433">
      <c r="B2433" s="11" t="n"/>
      <c r="C2433" s="8">
        <f>pinyin(B2465)</f>
        <v/>
      </c>
      <c r="E2433" s="8">
        <f>IFERROR(__xludf.DUMMYFUNCTION("GOOGLETRANSLATE(B2465, ""zh"", ""vi"")"),"#VALUE!")</f>
        <v/>
      </c>
      <c r="H2433" s="9">
        <f>G2465=B2465</f>
        <v/>
      </c>
    </row>
    <row r="2434">
      <c r="B2434" s="11" t="n"/>
      <c r="C2434" s="8">
        <f>pinyin(B2466)</f>
        <v/>
      </c>
      <c r="E2434" s="8">
        <f>IFERROR(__xludf.DUMMYFUNCTION("GOOGLETRANSLATE(B2466, ""zh"", ""vi"")"),"#VALUE!")</f>
        <v/>
      </c>
      <c r="H2434" s="9">
        <f>G2466=B2466</f>
        <v/>
      </c>
    </row>
    <row r="2435">
      <c r="B2435" s="11" t="n"/>
      <c r="C2435" s="8">
        <f>pinyin(B2467)</f>
        <v/>
      </c>
      <c r="E2435" s="8">
        <f>IFERROR(__xludf.DUMMYFUNCTION("GOOGLETRANSLATE(B2467, ""zh"", ""vi"")"),"#VALUE!")</f>
        <v/>
      </c>
      <c r="H2435" s="9">
        <f>G2467=B2467</f>
        <v/>
      </c>
    </row>
    <row r="2436">
      <c r="B2436" s="11" t="n"/>
      <c r="C2436" s="8">
        <f>pinyin(B2468)</f>
        <v/>
      </c>
      <c r="E2436" s="8">
        <f>IFERROR(__xludf.DUMMYFUNCTION("GOOGLETRANSLATE(B2468, ""zh"", ""vi"")"),"#VALUE!")</f>
        <v/>
      </c>
      <c r="H2436" s="9">
        <f>G2468=B2468</f>
        <v/>
      </c>
    </row>
    <row r="2437">
      <c r="B2437" s="11" t="n"/>
      <c r="C2437" s="8">
        <f>pinyin(B2469)</f>
        <v/>
      </c>
      <c r="E2437" s="8">
        <f>IFERROR(__xludf.DUMMYFUNCTION("GOOGLETRANSLATE(B2469, ""zh"", ""vi"")"),"#VALUE!")</f>
        <v/>
      </c>
      <c r="H2437" s="9">
        <f>G2469=B2469</f>
        <v/>
      </c>
    </row>
    <row r="2438">
      <c r="B2438" s="11" t="n"/>
      <c r="C2438" s="8">
        <f>pinyin(B2470)</f>
        <v/>
      </c>
      <c r="E2438" s="8">
        <f>IFERROR(__xludf.DUMMYFUNCTION("GOOGLETRANSLATE(B2470, ""zh"", ""vi"")"),"#VALUE!")</f>
        <v/>
      </c>
      <c r="H2438" s="9">
        <f>G2470=B2470</f>
        <v/>
      </c>
    </row>
    <row r="2439">
      <c r="B2439" s="11" t="n"/>
      <c r="C2439" s="8">
        <f>pinyin(B2471)</f>
        <v/>
      </c>
      <c r="E2439" s="8">
        <f>IFERROR(__xludf.DUMMYFUNCTION("GOOGLETRANSLATE(B2471, ""zh"", ""vi"")"),"#VALUE!")</f>
        <v/>
      </c>
      <c r="H2439" s="9">
        <f>G2471=B2471</f>
        <v/>
      </c>
    </row>
    <row r="2440">
      <c r="B2440" s="11" t="n"/>
      <c r="C2440" s="8">
        <f>pinyin(B2472)</f>
        <v/>
      </c>
      <c r="E2440" s="8">
        <f>IFERROR(__xludf.DUMMYFUNCTION("GOOGLETRANSLATE(B2472, ""zh"", ""vi"")"),"#VALUE!")</f>
        <v/>
      </c>
      <c r="H2440" s="9">
        <f>G2472=B2472</f>
        <v/>
      </c>
    </row>
    <row r="2441">
      <c r="B2441" s="11" t="n"/>
      <c r="C2441" s="8">
        <f>pinyin(B2473)</f>
        <v/>
      </c>
      <c r="E2441" s="8">
        <f>IFERROR(__xludf.DUMMYFUNCTION("GOOGLETRANSLATE(B2473, ""zh"", ""vi"")"),"#VALUE!")</f>
        <v/>
      </c>
      <c r="H2441" s="9">
        <f>G2473=B2473</f>
        <v/>
      </c>
    </row>
    <row r="2442">
      <c r="B2442" s="11" t="n"/>
      <c r="C2442" s="8">
        <f>pinyin(B2474)</f>
        <v/>
      </c>
      <c r="E2442" s="8">
        <f>IFERROR(__xludf.DUMMYFUNCTION("GOOGLETRANSLATE(B2474, ""zh"", ""vi"")"),"#VALUE!")</f>
        <v/>
      </c>
      <c r="H2442" s="9">
        <f>G2474=B2474</f>
        <v/>
      </c>
    </row>
    <row r="2443">
      <c r="B2443" s="11" t="n"/>
      <c r="C2443" s="8">
        <f>pinyin(B2475)</f>
        <v/>
      </c>
      <c r="E2443" s="8">
        <f>IFERROR(__xludf.DUMMYFUNCTION("GOOGLETRANSLATE(B2475, ""zh"", ""vi"")"),"#VALUE!")</f>
        <v/>
      </c>
      <c r="H2443" s="9">
        <f>G2475=B2475</f>
        <v/>
      </c>
    </row>
    <row r="2444">
      <c r="B2444" s="11" t="n"/>
      <c r="C2444" s="8">
        <f>pinyin(B2476)</f>
        <v/>
      </c>
      <c r="E2444" s="8">
        <f>IFERROR(__xludf.DUMMYFUNCTION("GOOGLETRANSLATE(B2476, ""zh"", ""vi"")"),"#VALUE!")</f>
        <v/>
      </c>
      <c r="H2444" s="9">
        <f>G2476=B2476</f>
        <v/>
      </c>
    </row>
    <row r="2445">
      <c r="B2445" s="11" t="n"/>
      <c r="C2445" s="8">
        <f>pinyin(B2477)</f>
        <v/>
      </c>
      <c r="E2445" s="8">
        <f>IFERROR(__xludf.DUMMYFUNCTION("GOOGLETRANSLATE(B2477, ""zh"", ""vi"")"),"#VALUE!")</f>
        <v/>
      </c>
      <c r="H2445" s="9">
        <f>G2477=B2477</f>
        <v/>
      </c>
    </row>
    <row r="2446">
      <c r="B2446" s="11" t="n"/>
      <c r="C2446" s="8">
        <f>pinyin(B2478)</f>
        <v/>
      </c>
      <c r="E2446" s="8">
        <f>IFERROR(__xludf.DUMMYFUNCTION("GOOGLETRANSLATE(B2478, ""zh"", ""vi"")"),"#VALUE!")</f>
        <v/>
      </c>
      <c r="H2446" s="9">
        <f>G2478=B2478</f>
        <v/>
      </c>
    </row>
    <row r="2447">
      <c r="B2447" s="11" t="n"/>
      <c r="C2447" s="8">
        <f>pinyin(B2479)</f>
        <v/>
      </c>
      <c r="E2447" s="8">
        <f>IFERROR(__xludf.DUMMYFUNCTION("GOOGLETRANSLATE(B2479, ""zh"", ""vi"")"),"#VALUE!")</f>
        <v/>
      </c>
      <c r="H2447" s="9">
        <f>G2479=B2479</f>
        <v/>
      </c>
    </row>
    <row r="2448">
      <c r="B2448" s="11" t="n"/>
      <c r="C2448" s="8">
        <f>pinyin(B2480)</f>
        <v/>
      </c>
      <c r="E2448" s="8">
        <f>IFERROR(__xludf.DUMMYFUNCTION("GOOGLETRANSLATE(B2480, ""zh"", ""vi"")"),"#VALUE!")</f>
        <v/>
      </c>
      <c r="H2448" s="9">
        <f>G2480=B2480</f>
        <v/>
      </c>
    </row>
    <row r="2449">
      <c r="B2449" s="11" t="n"/>
      <c r="C2449" s="8">
        <f>pinyin(B2481)</f>
        <v/>
      </c>
      <c r="E2449" s="8">
        <f>IFERROR(__xludf.DUMMYFUNCTION("GOOGLETRANSLATE(B2481, ""zh"", ""vi"")"),"#VALUE!")</f>
        <v/>
      </c>
      <c r="H2449" s="9">
        <f>G2481=B2481</f>
        <v/>
      </c>
    </row>
    <row r="2450">
      <c r="B2450" s="11" t="n"/>
      <c r="C2450" s="8">
        <f>pinyin(B2482)</f>
        <v/>
      </c>
      <c r="E2450" s="8">
        <f>IFERROR(__xludf.DUMMYFUNCTION("GOOGLETRANSLATE(B2482, ""zh"", ""vi"")"),"#VALUE!")</f>
        <v/>
      </c>
      <c r="H2450" s="9">
        <f>G2482=B2482</f>
        <v/>
      </c>
    </row>
    <row r="2451">
      <c r="B2451" s="11" t="n"/>
      <c r="C2451" s="8">
        <f>pinyin(B2483)</f>
        <v/>
      </c>
      <c r="E2451" s="8">
        <f>IFERROR(__xludf.DUMMYFUNCTION("GOOGLETRANSLATE(B2483, ""zh"", ""vi"")"),"#VALUE!")</f>
        <v/>
      </c>
      <c r="H2451" s="9">
        <f>G2483=B2483</f>
        <v/>
      </c>
    </row>
    <row r="2452">
      <c r="B2452" s="11" t="n"/>
      <c r="C2452" s="8">
        <f>pinyin(B2484)</f>
        <v/>
      </c>
      <c r="E2452" s="8">
        <f>IFERROR(__xludf.DUMMYFUNCTION("GOOGLETRANSLATE(B2484, ""zh"", ""vi"")"),"#VALUE!")</f>
        <v/>
      </c>
      <c r="H2452" s="9">
        <f>G2484=B2484</f>
        <v/>
      </c>
    </row>
    <row r="2453">
      <c r="B2453" s="11" t="n"/>
      <c r="C2453" s="8">
        <f>pinyin(B2485)</f>
        <v/>
      </c>
      <c r="E2453" s="8">
        <f>IFERROR(__xludf.DUMMYFUNCTION("GOOGLETRANSLATE(B2485, ""zh"", ""vi"")"),"#VALUE!")</f>
        <v/>
      </c>
      <c r="H2453" s="9">
        <f>G2485=B2485</f>
        <v/>
      </c>
    </row>
    <row r="2454">
      <c r="B2454" s="11" t="n"/>
      <c r="C2454" s="8">
        <f>pinyin(B2486)</f>
        <v/>
      </c>
      <c r="E2454" s="8">
        <f>IFERROR(__xludf.DUMMYFUNCTION("GOOGLETRANSLATE(B2486, ""zh"", ""vi"")"),"#VALUE!")</f>
        <v/>
      </c>
      <c r="H2454" s="9">
        <f>G2486=B2486</f>
        <v/>
      </c>
    </row>
    <row r="2455">
      <c r="B2455" s="11" t="n"/>
      <c r="C2455" s="8">
        <f>pinyin(B2487)</f>
        <v/>
      </c>
      <c r="E2455" s="8">
        <f>IFERROR(__xludf.DUMMYFUNCTION("GOOGLETRANSLATE(B2487, ""zh"", ""vi"")"),"#VALUE!")</f>
        <v/>
      </c>
      <c r="H2455" s="9">
        <f>G2487=B2487</f>
        <v/>
      </c>
    </row>
    <row r="2456">
      <c r="B2456" s="11" t="n"/>
      <c r="C2456" s="8">
        <f>pinyin(B2488)</f>
        <v/>
      </c>
      <c r="E2456" s="8">
        <f>IFERROR(__xludf.DUMMYFUNCTION("GOOGLETRANSLATE(B2488, ""zh"", ""vi"")"),"#VALUE!")</f>
        <v/>
      </c>
      <c r="H2456" s="9">
        <f>G2488=B2488</f>
        <v/>
      </c>
    </row>
    <row r="2457">
      <c r="B2457" s="11" t="n"/>
      <c r="C2457" s="8">
        <f>pinyin(B2489)</f>
        <v/>
      </c>
      <c r="E2457" s="8">
        <f>IFERROR(__xludf.DUMMYFUNCTION("GOOGLETRANSLATE(B2489, ""zh"", ""vi"")"),"#VALUE!")</f>
        <v/>
      </c>
      <c r="H2457" s="9">
        <f>G2489=B2489</f>
        <v/>
      </c>
    </row>
    <row r="2458">
      <c r="B2458" s="11" t="n"/>
      <c r="C2458" s="8">
        <f>pinyin(B2490)</f>
        <v/>
      </c>
      <c r="E2458" s="8">
        <f>IFERROR(__xludf.DUMMYFUNCTION("GOOGLETRANSLATE(B2490, ""zh"", ""vi"")"),"#VALUE!")</f>
        <v/>
      </c>
      <c r="H2458" s="9">
        <f>G2490=B2490</f>
        <v/>
      </c>
    </row>
    <row r="2459">
      <c r="B2459" s="11" t="n"/>
      <c r="C2459" s="8">
        <f>pinyin(B2491)</f>
        <v/>
      </c>
      <c r="E2459" s="8">
        <f>IFERROR(__xludf.DUMMYFUNCTION("GOOGLETRANSLATE(B2491, ""zh"", ""vi"")"),"#VALUE!")</f>
        <v/>
      </c>
      <c r="H2459" s="9">
        <f>G2491=B2491</f>
        <v/>
      </c>
    </row>
    <row r="2460">
      <c r="B2460" s="11" t="n"/>
      <c r="C2460" s="8">
        <f>pinyin(B2492)</f>
        <v/>
      </c>
      <c r="E2460" s="8">
        <f>IFERROR(__xludf.DUMMYFUNCTION("GOOGLETRANSLATE(B2492, ""zh"", ""vi"")"),"#VALUE!")</f>
        <v/>
      </c>
      <c r="H2460" s="9">
        <f>G2492=B2492</f>
        <v/>
      </c>
    </row>
    <row r="2461">
      <c r="B2461" s="11" t="n"/>
      <c r="C2461" s="8">
        <f>pinyin(B2493)</f>
        <v/>
      </c>
      <c r="E2461" s="8">
        <f>IFERROR(__xludf.DUMMYFUNCTION("GOOGLETRANSLATE(B2493, ""zh"", ""vi"")"),"#VALUE!")</f>
        <v/>
      </c>
      <c r="H2461" s="9">
        <f>G2493=B2493</f>
        <v/>
      </c>
    </row>
    <row r="2462">
      <c r="B2462" s="11" t="n"/>
      <c r="C2462" s="8">
        <f>pinyin(B2494)</f>
        <v/>
      </c>
      <c r="E2462" s="8">
        <f>IFERROR(__xludf.DUMMYFUNCTION("GOOGLETRANSLATE(B2494, ""zh"", ""vi"")"),"#VALUE!")</f>
        <v/>
      </c>
      <c r="H2462" s="9">
        <f>G2494=B2494</f>
        <v/>
      </c>
    </row>
    <row r="2463">
      <c r="B2463" s="11" t="n"/>
      <c r="C2463" s="8">
        <f>pinyin(B2495)</f>
        <v/>
      </c>
      <c r="E2463" s="8">
        <f>IFERROR(__xludf.DUMMYFUNCTION("GOOGLETRANSLATE(B2495, ""zh"", ""vi"")"),"#VALUE!")</f>
        <v/>
      </c>
      <c r="H2463" s="9">
        <f>G2495=B2495</f>
        <v/>
      </c>
    </row>
    <row r="2464">
      <c r="B2464" s="11" t="n"/>
      <c r="C2464" s="8">
        <f>pinyin(B2496)</f>
        <v/>
      </c>
      <c r="E2464" s="8">
        <f>IFERROR(__xludf.DUMMYFUNCTION("GOOGLETRANSLATE(B2496, ""zh"", ""vi"")"),"#VALUE!")</f>
        <v/>
      </c>
      <c r="H2464" s="9">
        <f>G2496=B2496</f>
        <v/>
      </c>
    </row>
    <row r="2465">
      <c r="B2465" s="11" t="n"/>
      <c r="C2465" s="8">
        <f>pinyin(B2497)</f>
        <v/>
      </c>
      <c r="E2465" s="8">
        <f>IFERROR(__xludf.DUMMYFUNCTION("GOOGLETRANSLATE(B2497, ""zh"", ""vi"")"),"#VALUE!")</f>
        <v/>
      </c>
      <c r="H2465" s="9">
        <f>G2497=B2497</f>
        <v/>
      </c>
    </row>
    <row r="2466">
      <c r="B2466" s="11" t="n"/>
      <c r="C2466" s="8">
        <f>pinyin(B2498)</f>
        <v/>
      </c>
      <c r="E2466" s="8">
        <f>IFERROR(__xludf.DUMMYFUNCTION("GOOGLETRANSLATE(B2498, ""zh"", ""vi"")"),"#VALUE!")</f>
        <v/>
      </c>
      <c r="H2466" s="9">
        <f>G2498=B2498</f>
        <v/>
      </c>
    </row>
    <row r="2467">
      <c r="B2467" s="11" t="n"/>
      <c r="C2467" s="8">
        <f>pinyin(B2499)</f>
        <v/>
      </c>
      <c r="E2467" s="8">
        <f>IFERROR(__xludf.DUMMYFUNCTION("GOOGLETRANSLATE(B2499, ""zh"", ""vi"")"),"#VALUE!")</f>
        <v/>
      </c>
      <c r="H2467" s="9">
        <f>G2499=B2499</f>
        <v/>
      </c>
    </row>
    <row r="2468">
      <c r="B2468" s="11" t="n"/>
      <c r="C2468" s="8">
        <f>pinyin(B2500)</f>
        <v/>
      </c>
      <c r="E2468" s="8">
        <f>IFERROR(__xludf.DUMMYFUNCTION("GOOGLETRANSLATE(B2500, ""zh"", ""vi"")"),"#VALUE!")</f>
        <v/>
      </c>
      <c r="H2468" s="9">
        <f>G2500=B2500</f>
        <v/>
      </c>
    </row>
    <row r="2469">
      <c r="B2469" s="11" t="n"/>
      <c r="C2469" s="8">
        <f>pinyin(B2501)</f>
        <v/>
      </c>
      <c r="E2469" s="8">
        <f>IFERROR(__xludf.DUMMYFUNCTION("GOOGLETRANSLATE(B2501, ""zh"", ""vi"")"),"#VALUE!")</f>
        <v/>
      </c>
      <c r="H2469" s="9">
        <f>G2501=B2501</f>
        <v/>
      </c>
    </row>
    <row r="2470">
      <c r="B2470" s="11" t="n"/>
      <c r="C2470" s="8">
        <f>pinyin(B2502)</f>
        <v/>
      </c>
      <c r="E2470" s="8">
        <f>IFERROR(__xludf.DUMMYFUNCTION("GOOGLETRANSLATE(B2502, ""zh"", ""vi"")"),"#VALUE!")</f>
        <v/>
      </c>
      <c r="H2470" s="9">
        <f>G2502=B2502</f>
        <v/>
      </c>
    </row>
    <row r="2471">
      <c r="B2471" s="11" t="n"/>
      <c r="C2471" s="8">
        <f>pinyin(B2503)</f>
        <v/>
      </c>
      <c r="E2471" s="8">
        <f>IFERROR(__xludf.DUMMYFUNCTION("GOOGLETRANSLATE(B2503, ""zh"", ""vi"")"),"#VALUE!")</f>
        <v/>
      </c>
      <c r="H2471" s="9">
        <f>G2503=B2503</f>
        <v/>
      </c>
    </row>
    <row r="2472">
      <c r="B2472" s="11" t="n"/>
      <c r="C2472" s="8">
        <f>pinyin(B2504)</f>
        <v/>
      </c>
      <c r="E2472" s="8">
        <f>IFERROR(__xludf.DUMMYFUNCTION("GOOGLETRANSLATE(B2504, ""zh"", ""vi"")"),"#VALUE!")</f>
        <v/>
      </c>
      <c r="H2472" s="9">
        <f>G2504=B2504</f>
        <v/>
      </c>
    </row>
    <row r="2473">
      <c r="B2473" s="11" t="n"/>
      <c r="C2473" s="8">
        <f>pinyin(B2505)</f>
        <v/>
      </c>
      <c r="E2473" s="8">
        <f>IFERROR(__xludf.DUMMYFUNCTION("GOOGLETRANSLATE(B2505, ""zh"", ""vi"")"),"#VALUE!")</f>
        <v/>
      </c>
      <c r="H2473" s="9">
        <f>G2505=B2505</f>
        <v/>
      </c>
    </row>
    <row r="2474">
      <c r="B2474" s="11" t="n"/>
      <c r="C2474" s="8">
        <f>pinyin(B2506)</f>
        <v/>
      </c>
      <c r="E2474" s="8">
        <f>IFERROR(__xludf.DUMMYFUNCTION("GOOGLETRANSLATE(B2506, ""zh"", ""vi"")"),"#VALUE!")</f>
        <v/>
      </c>
      <c r="H2474" s="9">
        <f>G2506=B2506</f>
        <v/>
      </c>
    </row>
    <row r="2475">
      <c r="B2475" s="11" t="n"/>
      <c r="C2475" s="8">
        <f>pinyin(B2507)</f>
        <v/>
      </c>
      <c r="E2475" s="8">
        <f>IFERROR(__xludf.DUMMYFUNCTION("GOOGLETRANSLATE(B2507, ""zh"", ""vi"")"),"#VALUE!")</f>
        <v/>
      </c>
      <c r="H2475" s="9">
        <f>G2507=B2507</f>
        <v/>
      </c>
    </row>
    <row r="2476">
      <c r="B2476" s="11" t="n"/>
      <c r="C2476" s="8">
        <f>pinyin(B2508)</f>
        <v/>
      </c>
      <c r="E2476" s="8">
        <f>IFERROR(__xludf.DUMMYFUNCTION("GOOGLETRANSLATE(B2508, ""zh"", ""vi"")"),"#VALUE!")</f>
        <v/>
      </c>
      <c r="H2476" s="9">
        <f>G2508=B2508</f>
        <v/>
      </c>
    </row>
    <row r="2477">
      <c r="B2477" s="11" t="n"/>
      <c r="C2477" s="8">
        <f>pinyin(B2509)</f>
        <v/>
      </c>
      <c r="E2477" s="8">
        <f>IFERROR(__xludf.DUMMYFUNCTION("GOOGLETRANSLATE(B2509, ""zh"", ""vi"")"),"#VALUE!")</f>
        <v/>
      </c>
      <c r="H2477" s="9">
        <f>G2509=B2509</f>
        <v/>
      </c>
    </row>
    <row r="2478">
      <c r="B2478" s="11" t="n"/>
      <c r="C2478" s="8">
        <f>pinyin(B2510)</f>
        <v/>
      </c>
      <c r="E2478" s="8">
        <f>IFERROR(__xludf.DUMMYFUNCTION("GOOGLETRANSLATE(B2510, ""zh"", ""vi"")"),"#VALUE!")</f>
        <v/>
      </c>
      <c r="H2478" s="9">
        <f>G2510=B2510</f>
        <v/>
      </c>
    </row>
    <row r="2479">
      <c r="B2479" s="11" t="n"/>
      <c r="C2479" s="8">
        <f>pinyin(B2511)</f>
        <v/>
      </c>
      <c r="E2479" s="8">
        <f>IFERROR(__xludf.DUMMYFUNCTION("GOOGLETRANSLATE(B2511, ""zh"", ""vi"")"),"#VALUE!")</f>
        <v/>
      </c>
      <c r="H2479" s="9">
        <f>G2511=B2511</f>
        <v/>
      </c>
    </row>
    <row r="2480">
      <c r="B2480" s="11" t="n"/>
      <c r="C2480" s="8">
        <f>pinyin(B2512)</f>
        <v/>
      </c>
      <c r="E2480" s="8">
        <f>IFERROR(__xludf.DUMMYFUNCTION("GOOGLETRANSLATE(B2512, ""zh"", ""vi"")"),"#VALUE!")</f>
        <v/>
      </c>
      <c r="H2480" s="9">
        <f>G2512=B2512</f>
        <v/>
      </c>
    </row>
    <row r="2481">
      <c r="B2481" s="11" t="n"/>
      <c r="C2481" s="8">
        <f>pinyin(B2513)</f>
        <v/>
      </c>
      <c r="E2481" s="8">
        <f>IFERROR(__xludf.DUMMYFUNCTION("GOOGLETRANSLATE(B2513, ""zh"", ""vi"")"),"#VALUE!")</f>
        <v/>
      </c>
      <c r="H2481" s="9">
        <f>G2513=B2513</f>
        <v/>
      </c>
    </row>
    <row r="2482">
      <c r="B2482" s="11" t="n"/>
      <c r="C2482" s="8">
        <f>pinyin(B2514)</f>
        <v/>
      </c>
      <c r="E2482" s="8">
        <f>IFERROR(__xludf.DUMMYFUNCTION("GOOGLETRANSLATE(B2514, ""zh"", ""vi"")"),"#VALUE!")</f>
        <v/>
      </c>
      <c r="H2482" s="9">
        <f>G2514=B2514</f>
        <v/>
      </c>
    </row>
    <row r="2483">
      <c r="B2483" s="11" t="n"/>
      <c r="C2483" s="8">
        <f>pinyin(B2515)</f>
        <v/>
      </c>
      <c r="E2483" s="8">
        <f>IFERROR(__xludf.DUMMYFUNCTION("GOOGLETRANSLATE(B2515, ""zh"", ""vi"")"),"#VALUE!")</f>
        <v/>
      </c>
      <c r="H2483" s="9">
        <f>G2515=B2515</f>
        <v/>
      </c>
    </row>
    <row r="2484">
      <c r="B2484" s="11" t="n"/>
      <c r="C2484" s="8">
        <f>pinyin(B2516)</f>
        <v/>
      </c>
      <c r="E2484" s="8">
        <f>IFERROR(__xludf.DUMMYFUNCTION("GOOGLETRANSLATE(B2516, ""zh"", ""vi"")"),"#VALUE!")</f>
        <v/>
      </c>
      <c r="H2484" s="9">
        <f>G2516=B2516</f>
        <v/>
      </c>
    </row>
    <row r="2485">
      <c r="B2485" s="11" t="n"/>
      <c r="C2485" s="8">
        <f>pinyin(B2517)</f>
        <v/>
      </c>
      <c r="E2485" s="8">
        <f>IFERROR(__xludf.DUMMYFUNCTION("GOOGLETRANSLATE(B2517, ""zh"", ""vi"")"),"#VALUE!")</f>
        <v/>
      </c>
      <c r="H2485" s="9">
        <f>G2517=B2517</f>
        <v/>
      </c>
    </row>
    <row r="2486">
      <c r="B2486" s="11" t="n"/>
      <c r="C2486" s="8">
        <f>pinyin(B2518)</f>
        <v/>
      </c>
      <c r="E2486" s="8">
        <f>IFERROR(__xludf.DUMMYFUNCTION("GOOGLETRANSLATE(B2518, ""zh"", ""vi"")"),"#VALUE!")</f>
        <v/>
      </c>
      <c r="H2486" s="9">
        <f>G2518=B2518</f>
        <v/>
      </c>
    </row>
    <row r="2487">
      <c r="B2487" s="11" t="n"/>
      <c r="C2487" s="8">
        <f>pinyin(B2519)</f>
        <v/>
      </c>
      <c r="E2487" s="8">
        <f>IFERROR(__xludf.DUMMYFUNCTION("GOOGLETRANSLATE(B2519, ""zh"", ""vi"")"),"#VALUE!")</f>
        <v/>
      </c>
      <c r="H2487" s="9">
        <f>G2519=B2519</f>
        <v/>
      </c>
    </row>
    <row r="2488">
      <c r="B2488" s="11" t="n"/>
      <c r="C2488" s="8">
        <f>pinyin(B2520)</f>
        <v/>
      </c>
      <c r="E2488" s="8">
        <f>IFERROR(__xludf.DUMMYFUNCTION("GOOGLETRANSLATE(B2520, ""zh"", ""vi"")"),"#VALUE!")</f>
        <v/>
      </c>
      <c r="H2488" s="9">
        <f>G2520=B2520</f>
        <v/>
      </c>
    </row>
    <row r="2489">
      <c r="B2489" s="11" t="n"/>
      <c r="C2489" s="8">
        <f>pinyin(B2521)</f>
        <v/>
      </c>
      <c r="E2489" s="8">
        <f>IFERROR(__xludf.DUMMYFUNCTION("GOOGLETRANSLATE(B2521, ""zh"", ""vi"")"),"#VALUE!")</f>
        <v/>
      </c>
      <c r="H2489" s="9">
        <f>G2521=B2521</f>
        <v/>
      </c>
    </row>
    <row r="2490">
      <c r="B2490" s="11" t="n"/>
      <c r="C2490" s="8">
        <f>pinyin(B2522)</f>
        <v/>
      </c>
      <c r="E2490" s="8">
        <f>IFERROR(__xludf.DUMMYFUNCTION("GOOGLETRANSLATE(B2522, ""zh"", ""vi"")"),"#VALUE!")</f>
        <v/>
      </c>
      <c r="H2490" s="9">
        <f>G2522=B2522</f>
        <v/>
      </c>
    </row>
    <row r="2491">
      <c r="B2491" s="11" t="n"/>
      <c r="C2491" s="8">
        <f>pinyin(B2523)</f>
        <v/>
      </c>
      <c r="E2491" s="8">
        <f>IFERROR(__xludf.DUMMYFUNCTION("GOOGLETRANSLATE(B2523, ""zh"", ""vi"")"),"#VALUE!")</f>
        <v/>
      </c>
      <c r="H2491" s="9">
        <f>G2523=B2523</f>
        <v/>
      </c>
    </row>
    <row r="2492">
      <c r="B2492" s="11" t="n"/>
      <c r="C2492" s="8">
        <f>pinyin(B2524)</f>
        <v/>
      </c>
      <c r="E2492" s="8">
        <f>IFERROR(__xludf.DUMMYFUNCTION("GOOGLETRANSLATE(B2524, ""zh"", ""vi"")"),"#VALUE!")</f>
        <v/>
      </c>
      <c r="H2492" s="9">
        <f>G2524=B2524</f>
        <v/>
      </c>
    </row>
    <row r="2493">
      <c r="B2493" s="11" t="n"/>
      <c r="C2493" s="8">
        <f>pinyin(B2525)</f>
        <v/>
      </c>
      <c r="E2493" s="8">
        <f>IFERROR(__xludf.DUMMYFUNCTION("GOOGLETRANSLATE(B2525, ""zh"", ""vi"")"),"#VALUE!")</f>
        <v/>
      </c>
      <c r="H2493" s="9">
        <f>G2525=B2525</f>
        <v/>
      </c>
    </row>
    <row r="2494">
      <c r="B2494" s="11" t="n"/>
      <c r="C2494" s="8">
        <f>pinyin(B2526)</f>
        <v/>
      </c>
      <c r="E2494" s="8">
        <f>IFERROR(__xludf.DUMMYFUNCTION("GOOGLETRANSLATE(B2526, ""zh"", ""vi"")"),"#VALUE!")</f>
        <v/>
      </c>
      <c r="H2494" s="9">
        <f>G2526=B2526</f>
        <v/>
      </c>
    </row>
    <row r="2495">
      <c r="B2495" s="11" t="n"/>
      <c r="C2495" s="8">
        <f>pinyin(B2527)</f>
        <v/>
      </c>
      <c r="E2495" s="8">
        <f>IFERROR(__xludf.DUMMYFUNCTION("GOOGLETRANSLATE(B2527, ""zh"", ""vi"")"),"#VALUE!")</f>
        <v/>
      </c>
      <c r="H2495" s="9">
        <f>G2527=B2527</f>
        <v/>
      </c>
    </row>
    <row r="2496">
      <c r="B2496" s="11" t="n"/>
      <c r="C2496" s="8">
        <f>pinyin(B2528)</f>
        <v/>
      </c>
      <c r="E2496" s="8">
        <f>IFERROR(__xludf.DUMMYFUNCTION("GOOGLETRANSLATE(B2528, ""zh"", ""vi"")"),"#VALUE!")</f>
        <v/>
      </c>
      <c r="H2496" s="9">
        <f>G2528=B2528</f>
        <v/>
      </c>
    </row>
    <row r="2497">
      <c r="B2497" s="11" t="n"/>
      <c r="C2497" s="8">
        <f>pinyin(B2529)</f>
        <v/>
      </c>
      <c r="E2497" s="8">
        <f>IFERROR(__xludf.DUMMYFUNCTION("GOOGLETRANSLATE(B2529, ""zh"", ""vi"")"),"#VALUE!")</f>
        <v/>
      </c>
      <c r="H2497" s="9">
        <f>G2529=B2529</f>
        <v/>
      </c>
    </row>
    <row r="2498">
      <c r="B2498" s="11" t="n"/>
      <c r="C2498" s="8">
        <f>pinyin(B2530)</f>
        <v/>
      </c>
      <c r="E2498" s="8">
        <f>IFERROR(__xludf.DUMMYFUNCTION("GOOGLETRANSLATE(B2530, ""zh"", ""vi"")"),"#VALUE!")</f>
        <v/>
      </c>
      <c r="H2498" s="9">
        <f>G2530=B2530</f>
        <v/>
      </c>
    </row>
    <row r="2499">
      <c r="B2499" s="11" t="n"/>
      <c r="C2499" s="8">
        <f>pinyin(B2531)</f>
        <v/>
      </c>
      <c r="E2499" s="8">
        <f>IFERROR(__xludf.DUMMYFUNCTION("GOOGLETRANSLATE(B2531, ""zh"", ""vi"")"),"#VALUE!")</f>
        <v/>
      </c>
      <c r="H2499" s="9">
        <f>G2531=B2531</f>
        <v/>
      </c>
    </row>
    <row r="2500">
      <c r="B2500" s="11" t="n"/>
      <c r="C2500" s="8">
        <f>pinyin(B2532)</f>
        <v/>
      </c>
      <c r="E2500" s="8">
        <f>IFERROR(__xludf.DUMMYFUNCTION("GOOGLETRANSLATE(B2532, ""zh"", ""vi"")"),"#VALUE!")</f>
        <v/>
      </c>
      <c r="H2500" s="9">
        <f>G2532=B2532</f>
        <v/>
      </c>
    </row>
    <row r="2501">
      <c r="B2501" s="11" t="n"/>
      <c r="C2501" s="8">
        <f>pinyin(B2533)</f>
        <v/>
      </c>
      <c r="E2501" s="8">
        <f>IFERROR(__xludf.DUMMYFUNCTION("GOOGLETRANSLATE(B2533, ""zh"", ""vi"")"),"#VALUE!")</f>
        <v/>
      </c>
      <c r="H2501" s="9">
        <f>G2533=B2533</f>
        <v/>
      </c>
    </row>
    <row r="2502">
      <c r="B2502" s="11" t="n"/>
      <c r="C2502" s="8">
        <f>pinyin(B2534)</f>
        <v/>
      </c>
      <c r="E2502" s="8">
        <f>IFERROR(__xludf.DUMMYFUNCTION("GOOGLETRANSLATE(B2534, ""zh"", ""vi"")"),"#VALUE!")</f>
        <v/>
      </c>
      <c r="H2502" s="9">
        <f>G2534=B2534</f>
        <v/>
      </c>
    </row>
    <row r="2503">
      <c r="B2503" s="11" t="n"/>
      <c r="C2503" s="8">
        <f>pinyin(B2535)</f>
        <v/>
      </c>
      <c r="E2503" s="8">
        <f>IFERROR(__xludf.DUMMYFUNCTION("GOOGLETRANSLATE(B2535, ""zh"", ""vi"")"),"#VALUE!")</f>
        <v/>
      </c>
      <c r="H2503" s="9">
        <f>G2535=B2535</f>
        <v/>
      </c>
    </row>
    <row r="2504">
      <c r="B2504" s="11" t="n"/>
      <c r="C2504" s="8">
        <f>pinyin(B2536)</f>
        <v/>
      </c>
      <c r="E2504" s="8">
        <f>IFERROR(__xludf.DUMMYFUNCTION("GOOGLETRANSLATE(B2536, ""zh"", ""vi"")"),"#VALUE!")</f>
        <v/>
      </c>
      <c r="H2504" s="9">
        <f>G2536=B2536</f>
        <v/>
      </c>
    </row>
    <row r="2505">
      <c r="B2505" s="11" t="n"/>
      <c r="C2505" s="8">
        <f>pinyin(B2537)</f>
        <v/>
      </c>
      <c r="E2505" s="8">
        <f>IFERROR(__xludf.DUMMYFUNCTION("GOOGLETRANSLATE(B2537, ""zh"", ""vi"")"),"#VALUE!")</f>
        <v/>
      </c>
      <c r="H2505" s="9">
        <f>G2537=B2537</f>
        <v/>
      </c>
    </row>
    <row r="2506">
      <c r="B2506" s="11" t="n"/>
      <c r="C2506" s="8">
        <f>pinyin(B2538)</f>
        <v/>
      </c>
      <c r="E2506" s="8">
        <f>IFERROR(__xludf.DUMMYFUNCTION("GOOGLETRANSLATE(B2538, ""zh"", ""vi"")"),"#VALUE!")</f>
        <v/>
      </c>
      <c r="H2506" s="9">
        <f>G2538=B2538</f>
        <v/>
      </c>
    </row>
    <row r="2507">
      <c r="B2507" s="11" t="n"/>
      <c r="C2507" s="8">
        <f>pinyin(B2539)</f>
        <v/>
      </c>
      <c r="E2507" s="8">
        <f>IFERROR(__xludf.DUMMYFUNCTION("GOOGLETRANSLATE(B2539, ""zh"", ""vi"")"),"#VALUE!")</f>
        <v/>
      </c>
      <c r="H2507" s="9">
        <f>G2539=B2539</f>
        <v/>
      </c>
    </row>
    <row r="2508">
      <c r="B2508" s="11" t="n"/>
      <c r="C2508" s="8">
        <f>pinyin(B2540)</f>
        <v/>
      </c>
      <c r="E2508" s="8">
        <f>IFERROR(__xludf.DUMMYFUNCTION("GOOGLETRANSLATE(B2540, ""zh"", ""vi"")"),"#VALUE!")</f>
        <v/>
      </c>
      <c r="H2508" s="9">
        <f>G2540=B2540</f>
        <v/>
      </c>
    </row>
    <row r="2509">
      <c r="B2509" s="11" t="n"/>
      <c r="C2509" s="8">
        <f>pinyin(B2541)</f>
        <v/>
      </c>
      <c r="E2509" s="8">
        <f>IFERROR(__xludf.DUMMYFUNCTION("GOOGLETRANSLATE(B2541, ""zh"", ""vi"")"),"#VALUE!")</f>
        <v/>
      </c>
      <c r="H2509" s="9">
        <f>G2541=B2541</f>
        <v/>
      </c>
    </row>
    <row r="2510">
      <c r="B2510" s="11" t="n"/>
      <c r="C2510" s="8">
        <f>pinyin(B2542)</f>
        <v/>
      </c>
      <c r="E2510" s="8">
        <f>IFERROR(__xludf.DUMMYFUNCTION("GOOGLETRANSLATE(B2542, ""zh"", ""vi"")"),"#VALUE!")</f>
        <v/>
      </c>
      <c r="H2510" s="9">
        <f>G2542=B2542</f>
        <v/>
      </c>
    </row>
    <row r="2511">
      <c r="B2511" s="11" t="n"/>
      <c r="C2511" s="8">
        <f>pinyin(B2543)</f>
        <v/>
      </c>
      <c r="E2511" s="8">
        <f>IFERROR(__xludf.DUMMYFUNCTION("GOOGLETRANSLATE(B2543, ""zh"", ""vi"")"),"#VALUE!")</f>
        <v/>
      </c>
      <c r="H2511" s="9">
        <f>G2543=B2543</f>
        <v/>
      </c>
    </row>
    <row r="2512">
      <c r="B2512" s="11" t="n"/>
      <c r="C2512" s="8">
        <f>pinyin(B2544)</f>
        <v/>
      </c>
      <c r="E2512" s="8">
        <f>IFERROR(__xludf.DUMMYFUNCTION("GOOGLETRANSLATE(B2544, ""zh"", ""vi"")"),"#VALUE!")</f>
        <v/>
      </c>
      <c r="H2512" s="9">
        <f>G2544=B2544</f>
        <v/>
      </c>
    </row>
    <row r="2513">
      <c r="B2513" s="11" t="n"/>
      <c r="C2513" s="8">
        <f>pinyin(B2545)</f>
        <v/>
      </c>
      <c r="E2513" s="8">
        <f>IFERROR(__xludf.DUMMYFUNCTION("GOOGLETRANSLATE(B2545, ""zh"", ""vi"")"),"#VALUE!")</f>
        <v/>
      </c>
      <c r="H2513" s="9">
        <f>G2545=B2545</f>
        <v/>
      </c>
    </row>
    <row r="2514">
      <c r="B2514" s="11" t="n"/>
      <c r="C2514" s="8">
        <f>pinyin(B2546)</f>
        <v/>
      </c>
      <c r="E2514" s="8">
        <f>IFERROR(__xludf.DUMMYFUNCTION("GOOGLETRANSLATE(B2546, ""zh"", ""vi"")"),"#VALUE!")</f>
        <v/>
      </c>
      <c r="H2514" s="9">
        <f>G2546=B2546</f>
        <v/>
      </c>
    </row>
    <row r="2515">
      <c r="B2515" s="11" t="n"/>
      <c r="C2515" s="8">
        <f>pinyin(B2547)</f>
        <v/>
      </c>
      <c r="E2515" s="8">
        <f>IFERROR(__xludf.DUMMYFUNCTION("GOOGLETRANSLATE(B2547, ""zh"", ""vi"")"),"#VALUE!")</f>
        <v/>
      </c>
      <c r="H2515" s="9">
        <f>G2547=B2547</f>
        <v/>
      </c>
    </row>
    <row r="2516">
      <c r="B2516" s="11" t="n"/>
      <c r="C2516" s="8">
        <f>pinyin(B2548)</f>
        <v/>
      </c>
      <c r="E2516" s="8">
        <f>IFERROR(__xludf.DUMMYFUNCTION("GOOGLETRANSLATE(B2548, ""zh"", ""vi"")"),"#VALUE!")</f>
        <v/>
      </c>
      <c r="H2516" s="9">
        <f>G2548=B2548</f>
        <v/>
      </c>
    </row>
    <row r="2517">
      <c r="B2517" s="11" t="n"/>
      <c r="C2517" s="8">
        <f>pinyin(B2549)</f>
        <v/>
      </c>
      <c r="E2517" s="8">
        <f>IFERROR(__xludf.DUMMYFUNCTION("GOOGLETRANSLATE(B2549, ""zh"", ""vi"")"),"#VALUE!")</f>
        <v/>
      </c>
      <c r="H2517" s="9">
        <f>G2549=B2549</f>
        <v/>
      </c>
    </row>
    <row r="2518">
      <c r="B2518" s="11" t="n"/>
      <c r="C2518" s="8">
        <f>pinyin(B2550)</f>
        <v/>
      </c>
      <c r="E2518" s="8">
        <f>IFERROR(__xludf.DUMMYFUNCTION("GOOGLETRANSLATE(B2550, ""zh"", ""vi"")"),"#VALUE!")</f>
        <v/>
      </c>
      <c r="H2518" s="9">
        <f>G2550=B2550</f>
        <v/>
      </c>
    </row>
    <row r="2519">
      <c r="B2519" s="11" t="n"/>
      <c r="C2519" s="8">
        <f>pinyin(B2551)</f>
        <v/>
      </c>
      <c r="E2519" s="8">
        <f>IFERROR(__xludf.DUMMYFUNCTION("GOOGLETRANSLATE(B2551, ""zh"", ""vi"")"),"#VALUE!")</f>
        <v/>
      </c>
      <c r="H2519" s="9">
        <f>G2551=B2551</f>
        <v/>
      </c>
    </row>
    <row r="2520">
      <c r="B2520" s="11" t="n"/>
      <c r="C2520" s="8">
        <f>pinyin(B2552)</f>
        <v/>
      </c>
      <c r="E2520" s="8">
        <f>IFERROR(__xludf.DUMMYFUNCTION("GOOGLETRANSLATE(B2552, ""zh"", ""vi"")"),"#VALUE!")</f>
        <v/>
      </c>
      <c r="H2520" s="9">
        <f>G2552=B2552</f>
        <v/>
      </c>
    </row>
    <row r="2521">
      <c r="B2521" s="11" t="n"/>
      <c r="C2521" s="8">
        <f>pinyin(B2553)</f>
        <v/>
      </c>
      <c r="E2521" s="8">
        <f>IFERROR(__xludf.DUMMYFUNCTION("GOOGLETRANSLATE(B2553, ""zh"", ""vi"")"),"#VALUE!")</f>
        <v/>
      </c>
      <c r="H2521" s="9">
        <f>G2553=B2553</f>
        <v/>
      </c>
    </row>
    <row r="2522">
      <c r="B2522" s="11" t="n"/>
      <c r="C2522" s="8">
        <f>pinyin(B2554)</f>
        <v/>
      </c>
      <c r="E2522" s="8">
        <f>IFERROR(__xludf.DUMMYFUNCTION("GOOGLETRANSLATE(B2554, ""zh"", ""vi"")"),"#VALUE!")</f>
        <v/>
      </c>
      <c r="H2522" s="9">
        <f>G2554=B2554</f>
        <v/>
      </c>
    </row>
    <row r="2523">
      <c r="B2523" s="11" t="n"/>
      <c r="C2523" s="8">
        <f>pinyin(B2555)</f>
        <v/>
      </c>
      <c r="E2523" s="8">
        <f>IFERROR(__xludf.DUMMYFUNCTION("GOOGLETRANSLATE(B2555, ""zh"", ""vi"")"),"#VALUE!")</f>
        <v/>
      </c>
      <c r="H2523" s="9">
        <f>G2555=B2555</f>
        <v/>
      </c>
    </row>
    <row r="2524">
      <c r="B2524" s="11" t="n"/>
      <c r="C2524" s="8">
        <f>pinyin(B2556)</f>
        <v/>
      </c>
      <c r="E2524" s="8">
        <f>IFERROR(__xludf.DUMMYFUNCTION("GOOGLETRANSLATE(B2556, ""zh"", ""vi"")"),"#VALUE!")</f>
        <v/>
      </c>
      <c r="H2524" s="9">
        <f>G2556=B2556</f>
        <v/>
      </c>
    </row>
    <row r="2525">
      <c r="B2525" s="11" t="n"/>
      <c r="C2525" s="8">
        <f>pinyin(B2557)</f>
        <v/>
      </c>
      <c r="E2525" s="8">
        <f>IFERROR(__xludf.DUMMYFUNCTION("GOOGLETRANSLATE(B2557, ""zh"", ""vi"")"),"#VALUE!")</f>
        <v/>
      </c>
      <c r="H2525" s="9">
        <f>G2557=B2557</f>
        <v/>
      </c>
    </row>
    <row r="2526">
      <c r="B2526" s="11" t="n"/>
      <c r="C2526" s="8">
        <f>pinyin(B2558)</f>
        <v/>
      </c>
      <c r="E2526" s="8">
        <f>IFERROR(__xludf.DUMMYFUNCTION("GOOGLETRANSLATE(B2558, ""zh"", ""vi"")"),"#VALUE!")</f>
        <v/>
      </c>
      <c r="H2526" s="9">
        <f>G2558=B2558</f>
        <v/>
      </c>
    </row>
    <row r="2527">
      <c r="B2527" s="11" t="n"/>
      <c r="C2527" s="8">
        <f>pinyin(B2559)</f>
        <v/>
      </c>
      <c r="E2527" s="8">
        <f>IFERROR(__xludf.DUMMYFUNCTION("GOOGLETRANSLATE(B2559, ""zh"", ""vi"")"),"#VALUE!")</f>
        <v/>
      </c>
      <c r="H2527" s="9">
        <f>G2559=B2559</f>
        <v/>
      </c>
    </row>
    <row r="2528">
      <c r="B2528" s="11" t="n"/>
      <c r="C2528" s="8">
        <f>pinyin(B2560)</f>
        <v/>
      </c>
      <c r="E2528" s="8">
        <f>IFERROR(__xludf.DUMMYFUNCTION("GOOGLETRANSLATE(B2560, ""zh"", ""vi"")"),"#VALUE!")</f>
        <v/>
      </c>
      <c r="H2528" s="9">
        <f>G2560=B2560</f>
        <v/>
      </c>
    </row>
    <row r="2529">
      <c r="B2529" s="11" t="n"/>
      <c r="C2529" s="8">
        <f>pinyin(B2561)</f>
        <v/>
      </c>
      <c r="E2529" s="8">
        <f>IFERROR(__xludf.DUMMYFUNCTION("GOOGLETRANSLATE(B2561, ""zh"", ""vi"")"),"#VALUE!")</f>
        <v/>
      </c>
      <c r="H2529" s="9">
        <f>G2561=B2561</f>
        <v/>
      </c>
    </row>
    <row r="2530">
      <c r="B2530" s="11" t="n"/>
      <c r="C2530" s="8">
        <f>pinyin(B2562)</f>
        <v/>
      </c>
      <c r="E2530" s="8">
        <f>IFERROR(__xludf.DUMMYFUNCTION("GOOGLETRANSLATE(B2562, ""zh"", ""vi"")"),"#VALUE!")</f>
        <v/>
      </c>
      <c r="H2530" s="9">
        <f>G2562=B2562</f>
        <v/>
      </c>
    </row>
    <row r="2531">
      <c r="B2531" s="11" t="n"/>
      <c r="C2531" s="8">
        <f>pinyin(B2563)</f>
        <v/>
      </c>
      <c r="E2531" s="8">
        <f>IFERROR(__xludf.DUMMYFUNCTION("GOOGLETRANSLATE(B2563, ""zh"", ""vi"")"),"#VALUE!")</f>
        <v/>
      </c>
      <c r="H2531" s="9">
        <f>G2563=B2563</f>
        <v/>
      </c>
    </row>
    <row r="2532">
      <c r="B2532" s="11" t="n"/>
      <c r="C2532" s="8">
        <f>pinyin(B2564)</f>
        <v/>
      </c>
      <c r="E2532" s="8">
        <f>IFERROR(__xludf.DUMMYFUNCTION("GOOGLETRANSLATE(B2564, ""zh"", ""vi"")"),"#VALUE!")</f>
        <v/>
      </c>
      <c r="H2532" s="9">
        <f>G2564=B2564</f>
        <v/>
      </c>
    </row>
    <row r="2533">
      <c r="B2533" s="11" t="n"/>
      <c r="C2533" s="8">
        <f>pinyin(B2565)</f>
        <v/>
      </c>
      <c r="E2533" s="8">
        <f>IFERROR(__xludf.DUMMYFUNCTION("GOOGLETRANSLATE(B2565, ""zh"", ""vi"")"),"#VALUE!")</f>
        <v/>
      </c>
      <c r="H2533" s="9">
        <f>G2565=B2565</f>
        <v/>
      </c>
    </row>
    <row r="2534">
      <c r="B2534" s="11" t="n"/>
      <c r="C2534" s="8">
        <f>pinyin(B2566)</f>
        <v/>
      </c>
      <c r="E2534" s="8">
        <f>IFERROR(__xludf.DUMMYFUNCTION("GOOGLETRANSLATE(B2566, ""zh"", ""vi"")"),"#VALUE!")</f>
        <v/>
      </c>
      <c r="H2534" s="9">
        <f>G2566=B2566</f>
        <v/>
      </c>
    </row>
    <row r="2535">
      <c r="B2535" s="11" t="n"/>
      <c r="C2535" s="8">
        <f>pinyin(B2567)</f>
        <v/>
      </c>
      <c r="E2535" s="8">
        <f>IFERROR(__xludf.DUMMYFUNCTION("GOOGLETRANSLATE(B2567, ""zh"", ""vi"")"),"#VALUE!")</f>
        <v/>
      </c>
      <c r="H2535" s="9">
        <f>G2567=B2567</f>
        <v/>
      </c>
    </row>
    <row r="2536">
      <c r="B2536" s="11" t="n"/>
      <c r="C2536" s="8">
        <f>pinyin(B2568)</f>
        <v/>
      </c>
      <c r="E2536" s="8">
        <f>IFERROR(__xludf.DUMMYFUNCTION("GOOGLETRANSLATE(B2568, ""zh"", ""vi"")"),"#VALUE!")</f>
        <v/>
      </c>
      <c r="H2536" s="9">
        <f>G2568=B2568</f>
        <v/>
      </c>
    </row>
    <row r="2537">
      <c r="B2537" s="11" t="n"/>
      <c r="C2537" s="8">
        <f>pinyin(B2569)</f>
        <v/>
      </c>
      <c r="E2537" s="8">
        <f>IFERROR(__xludf.DUMMYFUNCTION("GOOGLETRANSLATE(B2569, ""zh"", ""vi"")"),"#VALUE!")</f>
        <v/>
      </c>
      <c r="H2537" s="9">
        <f>G2569=B2569</f>
        <v/>
      </c>
    </row>
    <row r="2538">
      <c r="B2538" s="11" t="n"/>
      <c r="C2538" s="8">
        <f>pinyin(B2570)</f>
        <v/>
      </c>
      <c r="E2538" s="8">
        <f>IFERROR(__xludf.DUMMYFUNCTION("GOOGLETRANSLATE(B2570, ""zh"", ""vi"")"),"#VALUE!")</f>
        <v/>
      </c>
      <c r="H2538" s="9">
        <f>G2570=B2570</f>
        <v/>
      </c>
    </row>
    <row r="2539">
      <c r="B2539" s="11" t="n"/>
      <c r="C2539" s="8">
        <f>pinyin(B2571)</f>
        <v/>
      </c>
      <c r="E2539" s="8">
        <f>IFERROR(__xludf.DUMMYFUNCTION("GOOGLETRANSLATE(B2571, ""zh"", ""vi"")"),"#VALUE!")</f>
        <v/>
      </c>
      <c r="H2539" s="9">
        <f>G2571=B2571</f>
        <v/>
      </c>
    </row>
    <row r="2540">
      <c r="B2540" s="11" t="n"/>
      <c r="C2540" s="8">
        <f>pinyin(B2572)</f>
        <v/>
      </c>
      <c r="E2540" s="8">
        <f>IFERROR(__xludf.DUMMYFUNCTION("GOOGLETRANSLATE(B2572, ""zh"", ""vi"")"),"#VALUE!")</f>
        <v/>
      </c>
      <c r="H2540" s="9">
        <f>G2572=B2572</f>
        <v/>
      </c>
    </row>
    <row r="2541">
      <c r="B2541" s="11" t="n"/>
      <c r="C2541" s="8">
        <f>pinyin(B2573)</f>
        <v/>
      </c>
      <c r="E2541" s="8">
        <f>IFERROR(__xludf.DUMMYFUNCTION("GOOGLETRANSLATE(B2573, ""zh"", ""vi"")"),"#VALUE!")</f>
        <v/>
      </c>
      <c r="H2541" s="9">
        <f>G2573=B2573</f>
        <v/>
      </c>
    </row>
    <row r="2542">
      <c r="B2542" s="11" t="n"/>
      <c r="C2542" s="8">
        <f>pinyin(B2574)</f>
        <v/>
      </c>
      <c r="E2542" s="8">
        <f>IFERROR(__xludf.DUMMYFUNCTION("GOOGLETRANSLATE(B2574, ""zh"", ""vi"")"),"#VALUE!")</f>
        <v/>
      </c>
      <c r="H2542" s="9">
        <f>G2574=B2574</f>
        <v/>
      </c>
    </row>
    <row r="2543">
      <c r="B2543" s="11" t="n"/>
      <c r="C2543" s="8">
        <f>pinyin(B2575)</f>
        <v/>
      </c>
      <c r="E2543" s="8">
        <f>IFERROR(__xludf.DUMMYFUNCTION("GOOGLETRANSLATE(B2575, ""zh"", ""vi"")"),"#VALUE!")</f>
        <v/>
      </c>
      <c r="H2543" s="9">
        <f>G2575=B2575</f>
        <v/>
      </c>
    </row>
    <row r="2544">
      <c r="B2544" s="11" t="n"/>
      <c r="C2544" s="8">
        <f>pinyin(B2576)</f>
        <v/>
      </c>
      <c r="E2544" s="8">
        <f>IFERROR(__xludf.DUMMYFUNCTION("GOOGLETRANSLATE(B2576, ""zh"", ""vi"")"),"#VALUE!")</f>
        <v/>
      </c>
      <c r="H2544" s="9">
        <f>G2576=B2576</f>
        <v/>
      </c>
    </row>
    <row r="2545">
      <c r="B2545" s="11" t="n"/>
      <c r="C2545" s="8">
        <f>pinyin(B2577)</f>
        <v/>
      </c>
      <c r="E2545" s="8">
        <f>IFERROR(__xludf.DUMMYFUNCTION("GOOGLETRANSLATE(B2577, ""zh"", ""vi"")"),"#VALUE!")</f>
        <v/>
      </c>
      <c r="H2545" s="9">
        <f>G2577=B2577</f>
        <v/>
      </c>
    </row>
    <row r="2546">
      <c r="B2546" s="11" t="n"/>
      <c r="C2546" s="8">
        <f>pinyin(B2578)</f>
        <v/>
      </c>
      <c r="E2546" s="8">
        <f>IFERROR(__xludf.DUMMYFUNCTION("GOOGLETRANSLATE(B2578, ""zh"", ""vi"")"),"#VALUE!")</f>
        <v/>
      </c>
      <c r="H2546" s="9">
        <f>G2578=B2578</f>
        <v/>
      </c>
    </row>
    <row r="2547">
      <c r="B2547" s="11" t="n"/>
      <c r="C2547" s="8">
        <f>pinyin(B2579)</f>
        <v/>
      </c>
      <c r="E2547" s="8">
        <f>IFERROR(__xludf.DUMMYFUNCTION("GOOGLETRANSLATE(B2579, ""zh"", ""vi"")"),"#VALUE!")</f>
        <v/>
      </c>
      <c r="H2547" s="9">
        <f>G2579=B2579</f>
        <v/>
      </c>
    </row>
    <row r="2548">
      <c r="B2548" s="11" t="n"/>
      <c r="C2548" s="8">
        <f>pinyin(B2580)</f>
        <v/>
      </c>
      <c r="E2548" s="8">
        <f>IFERROR(__xludf.DUMMYFUNCTION("GOOGLETRANSLATE(B2580, ""zh"", ""vi"")"),"#VALUE!")</f>
        <v/>
      </c>
      <c r="H2548" s="9">
        <f>G2580=B2580</f>
        <v/>
      </c>
    </row>
    <row r="2549">
      <c r="B2549" s="11" t="n"/>
      <c r="C2549" s="8">
        <f>pinyin(B2581)</f>
        <v/>
      </c>
      <c r="E2549" s="8">
        <f>IFERROR(__xludf.DUMMYFUNCTION("GOOGLETRANSLATE(B2581, ""zh"", ""vi"")"),"#VALUE!")</f>
        <v/>
      </c>
      <c r="H2549" s="9">
        <f>G2581=B2581</f>
        <v/>
      </c>
    </row>
    <row r="2550">
      <c r="B2550" s="11" t="n"/>
      <c r="C2550" s="8">
        <f>pinyin(B2582)</f>
        <v/>
      </c>
      <c r="E2550" s="8">
        <f>IFERROR(__xludf.DUMMYFUNCTION("GOOGLETRANSLATE(B2582, ""zh"", ""vi"")"),"#VALUE!")</f>
        <v/>
      </c>
      <c r="H2550" s="9">
        <f>G2582=B2582</f>
        <v/>
      </c>
    </row>
    <row r="2551">
      <c r="B2551" s="11" t="n"/>
      <c r="C2551" s="8">
        <f>pinyin(B2583)</f>
        <v/>
      </c>
      <c r="E2551" s="8">
        <f>IFERROR(__xludf.DUMMYFUNCTION("GOOGLETRANSLATE(B2583, ""zh"", ""vi"")"),"#VALUE!")</f>
        <v/>
      </c>
      <c r="H2551" s="9">
        <f>G2583=B2583</f>
        <v/>
      </c>
    </row>
    <row r="2552">
      <c r="B2552" s="11" t="n"/>
      <c r="C2552" s="8">
        <f>pinyin(B2584)</f>
        <v/>
      </c>
      <c r="E2552" s="8">
        <f>IFERROR(__xludf.DUMMYFUNCTION("GOOGLETRANSLATE(B2584, ""zh"", ""vi"")"),"#VALUE!")</f>
        <v/>
      </c>
      <c r="H2552" s="9">
        <f>G2584=B2584</f>
        <v/>
      </c>
    </row>
    <row r="2553">
      <c r="B2553" s="11" t="n"/>
      <c r="C2553" s="8">
        <f>pinyin(B2585)</f>
        <v/>
      </c>
      <c r="E2553" s="8">
        <f>IFERROR(__xludf.DUMMYFUNCTION("GOOGLETRANSLATE(B2585, ""zh"", ""vi"")"),"#VALUE!")</f>
        <v/>
      </c>
      <c r="H2553" s="9">
        <f>G2585=B2585</f>
        <v/>
      </c>
    </row>
    <row r="2554">
      <c r="B2554" s="11" t="n"/>
      <c r="C2554" s="8">
        <f>pinyin(B2586)</f>
        <v/>
      </c>
      <c r="E2554" s="8">
        <f>IFERROR(__xludf.DUMMYFUNCTION("GOOGLETRANSLATE(B2586, ""zh"", ""vi"")"),"#VALUE!")</f>
        <v/>
      </c>
      <c r="H2554" s="9">
        <f>G2586=B2586</f>
        <v/>
      </c>
    </row>
    <row r="2555">
      <c r="B2555" s="11" t="n"/>
      <c r="C2555" s="8">
        <f>pinyin(B2587)</f>
        <v/>
      </c>
      <c r="E2555" s="8">
        <f>IFERROR(__xludf.DUMMYFUNCTION("GOOGLETRANSLATE(B2587, ""zh"", ""vi"")"),"#VALUE!")</f>
        <v/>
      </c>
      <c r="H2555" s="9">
        <f>G2587=B2587</f>
        <v/>
      </c>
    </row>
    <row r="2556">
      <c r="B2556" s="11" t="n"/>
      <c r="C2556" s="8">
        <f>pinyin(B2588)</f>
        <v/>
      </c>
      <c r="E2556" s="8">
        <f>IFERROR(__xludf.DUMMYFUNCTION("GOOGLETRANSLATE(B2588, ""zh"", ""vi"")"),"#VALUE!")</f>
        <v/>
      </c>
      <c r="H2556" s="9">
        <f>G2588=B2588</f>
        <v/>
      </c>
    </row>
    <row r="2557">
      <c r="B2557" s="11" t="n"/>
      <c r="C2557" s="8">
        <f>pinyin(B2589)</f>
        <v/>
      </c>
      <c r="E2557" s="8">
        <f>IFERROR(__xludf.DUMMYFUNCTION("GOOGLETRANSLATE(B2589, ""zh"", ""vi"")"),"#VALUE!")</f>
        <v/>
      </c>
      <c r="H2557" s="9">
        <f>G2589=B2589</f>
        <v/>
      </c>
    </row>
    <row r="2558">
      <c r="B2558" s="11" t="n"/>
      <c r="C2558" s="8">
        <f>pinyin(B2590)</f>
        <v/>
      </c>
      <c r="E2558" s="8">
        <f>IFERROR(__xludf.DUMMYFUNCTION("GOOGLETRANSLATE(B2590, ""zh"", ""vi"")"),"#VALUE!")</f>
        <v/>
      </c>
      <c r="H2558" s="9">
        <f>G2590=B2590</f>
        <v/>
      </c>
    </row>
    <row r="2559">
      <c r="B2559" s="11" t="n"/>
      <c r="C2559" s="8">
        <f>pinyin(B2591)</f>
        <v/>
      </c>
      <c r="E2559" s="8">
        <f>IFERROR(__xludf.DUMMYFUNCTION("GOOGLETRANSLATE(B2591, ""zh"", ""vi"")"),"#VALUE!")</f>
        <v/>
      </c>
      <c r="H2559" s="9">
        <f>G2591=B2591</f>
        <v/>
      </c>
    </row>
    <row r="2560">
      <c r="B2560" s="11" t="n"/>
      <c r="C2560" s="8">
        <f>pinyin(B2592)</f>
        <v/>
      </c>
      <c r="E2560" s="8">
        <f>IFERROR(__xludf.DUMMYFUNCTION("GOOGLETRANSLATE(B2592, ""zh"", ""vi"")"),"#VALUE!")</f>
        <v/>
      </c>
      <c r="H2560" s="9">
        <f>G2592=B2592</f>
        <v/>
      </c>
    </row>
    <row r="2561">
      <c r="B2561" s="11" t="n"/>
      <c r="C2561" s="8">
        <f>pinyin(B2593)</f>
        <v/>
      </c>
      <c r="E2561" s="8">
        <f>IFERROR(__xludf.DUMMYFUNCTION("GOOGLETRANSLATE(B2593, ""zh"", ""vi"")"),"#VALUE!")</f>
        <v/>
      </c>
      <c r="H2561" s="9">
        <f>G2593=B2593</f>
        <v/>
      </c>
    </row>
    <row r="2562">
      <c r="B2562" s="11" t="n"/>
      <c r="C2562" s="8">
        <f>pinyin(B2594)</f>
        <v/>
      </c>
      <c r="E2562" s="8">
        <f>IFERROR(__xludf.DUMMYFUNCTION("GOOGLETRANSLATE(B2594, ""zh"", ""vi"")"),"#VALUE!")</f>
        <v/>
      </c>
      <c r="H2562" s="9">
        <f>G2594=B2594</f>
        <v/>
      </c>
    </row>
    <row r="2563">
      <c r="B2563" s="11" t="n"/>
      <c r="C2563" s="8">
        <f>pinyin(B2595)</f>
        <v/>
      </c>
      <c r="E2563" s="8">
        <f>IFERROR(__xludf.DUMMYFUNCTION("GOOGLETRANSLATE(B2595, ""zh"", ""vi"")"),"#VALUE!")</f>
        <v/>
      </c>
      <c r="H2563" s="9">
        <f>G2595=B2595</f>
        <v/>
      </c>
    </row>
    <row r="2564">
      <c r="B2564" s="11" t="n"/>
      <c r="C2564" s="8">
        <f>pinyin(B2596)</f>
        <v/>
      </c>
      <c r="E2564" s="8">
        <f>IFERROR(__xludf.DUMMYFUNCTION("GOOGLETRANSLATE(B2596, ""zh"", ""vi"")"),"#VALUE!")</f>
        <v/>
      </c>
      <c r="H2564" s="9">
        <f>G2596=B2596</f>
        <v/>
      </c>
    </row>
    <row r="2565">
      <c r="B2565" s="11" t="n"/>
      <c r="C2565" s="8">
        <f>pinyin(B2597)</f>
        <v/>
      </c>
      <c r="E2565" s="8">
        <f>IFERROR(__xludf.DUMMYFUNCTION("GOOGLETRANSLATE(B2597, ""zh"", ""vi"")"),"#VALUE!")</f>
        <v/>
      </c>
      <c r="H2565" s="9">
        <f>G2597=B2597</f>
        <v/>
      </c>
    </row>
    <row r="2566">
      <c r="B2566" s="11" t="n"/>
      <c r="C2566" s="8">
        <f>pinyin(B2598)</f>
        <v/>
      </c>
      <c r="E2566" s="8">
        <f>IFERROR(__xludf.DUMMYFUNCTION("GOOGLETRANSLATE(B2598, ""zh"", ""vi"")"),"#VALUE!")</f>
        <v/>
      </c>
      <c r="H2566" s="9">
        <f>G2598=B2598</f>
        <v/>
      </c>
    </row>
    <row r="2567">
      <c r="B2567" s="11" t="n"/>
      <c r="C2567" s="8">
        <f>pinyin(B2599)</f>
        <v/>
      </c>
      <c r="E2567" s="8">
        <f>IFERROR(__xludf.DUMMYFUNCTION("GOOGLETRANSLATE(B2599, ""zh"", ""vi"")"),"#VALUE!")</f>
        <v/>
      </c>
      <c r="H2567" s="9">
        <f>G2599=B2599</f>
        <v/>
      </c>
    </row>
    <row r="2568">
      <c r="B2568" s="11" t="n"/>
      <c r="C2568" s="8">
        <f>pinyin(B2600)</f>
        <v/>
      </c>
      <c r="E2568" s="8">
        <f>IFERROR(__xludf.DUMMYFUNCTION("GOOGLETRANSLATE(B2600, ""zh"", ""vi"")"),"#VALUE!")</f>
        <v/>
      </c>
      <c r="H2568" s="9">
        <f>G2600=B2600</f>
        <v/>
      </c>
    </row>
    <row r="2569">
      <c r="B2569" s="11" t="n"/>
      <c r="C2569" s="8">
        <f>pinyin(B2601)</f>
        <v/>
      </c>
      <c r="E2569" s="8">
        <f>IFERROR(__xludf.DUMMYFUNCTION("GOOGLETRANSLATE(B2601, ""zh"", ""vi"")"),"#VALUE!")</f>
        <v/>
      </c>
      <c r="H2569" s="9">
        <f>G2601=B2601</f>
        <v/>
      </c>
    </row>
    <row r="2570">
      <c r="B2570" s="11" t="n"/>
      <c r="C2570" s="8">
        <f>pinyin(B2602)</f>
        <v/>
      </c>
      <c r="E2570" s="8">
        <f>IFERROR(__xludf.DUMMYFUNCTION("GOOGLETRANSLATE(B2602, ""zh"", ""vi"")"),"#VALUE!")</f>
        <v/>
      </c>
      <c r="H2570" s="9">
        <f>G2602=B2602</f>
        <v/>
      </c>
    </row>
    <row r="2571">
      <c r="B2571" s="11" t="n"/>
      <c r="C2571" s="8">
        <f>pinyin(B2603)</f>
        <v/>
      </c>
      <c r="E2571" s="8">
        <f>IFERROR(__xludf.DUMMYFUNCTION("GOOGLETRANSLATE(B2603, ""zh"", ""vi"")"),"#VALUE!")</f>
        <v/>
      </c>
      <c r="H2571" s="9">
        <f>G2603=B2603</f>
        <v/>
      </c>
    </row>
    <row r="2572">
      <c r="B2572" s="11" t="n"/>
      <c r="C2572" s="8">
        <f>pinyin(B2604)</f>
        <v/>
      </c>
      <c r="E2572" s="8">
        <f>IFERROR(__xludf.DUMMYFUNCTION("GOOGLETRANSLATE(B2604, ""zh"", ""vi"")"),"#VALUE!")</f>
        <v/>
      </c>
      <c r="H2572" s="9">
        <f>G2604=B2604</f>
        <v/>
      </c>
    </row>
    <row r="2573">
      <c r="B2573" s="11" t="n"/>
      <c r="C2573" s="8">
        <f>pinyin(B2605)</f>
        <v/>
      </c>
      <c r="E2573" s="8">
        <f>IFERROR(__xludf.DUMMYFUNCTION("GOOGLETRANSLATE(B2605, ""zh"", ""vi"")"),"#VALUE!")</f>
        <v/>
      </c>
      <c r="H2573" s="9">
        <f>G2605=B2605</f>
        <v/>
      </c>
    </row>
    <row r="2574">
      <c r="B2574" s="11" t="n"/>
      <c r="C2574" s="8">
        <f>pinyin(B2606)</f>
        <v/>
      </c>
      <c r="E2574" s="8">
        <f>IFERROR(__xludf.DUMMYFUNCTION("GOOGLETRANSLATE(B2606, ""zh"", ""vi"")"),"#VALUE!")</f>
        <v/>
      </c>
      <c r="H2574" s="9">
        <f>G2606=B2606</f>
        <v/>
      </c>
    </row>
    <row r="2575">
      <c r="B2575" s="11" t="n"/>
      <c r="C2575" s="8">
        <f>pinyin(B2607)</f>
        <v/>
      </c>
      <c r="E2575" s="8">
        <f>IFERROR(__xludf.DUMMYFUNCTION("GOOGLETRANSLATE(B2607, ""zh"", ""vi"")"),"#VALUE!")</f>
        <v/>
      </c>
      <c r="H2575" s="9">
        <f>G2607=B2607</f>
        <v/>
      </c>
    </row>
    <row r="2576">
      <c r="B2576" s="11" t="n"/>
      <c r="C2576" s="8">
        <f>pinyin(B2608)</f>
        <v/>
      </c>
      <c r="E2576" s="8">
        <f>IFERROR(__xludf.DUMMYFUNCTION("GOOGLETRANSLATE(B2608, ""zh"", ""vi"")"),"#VALUE!")</f>
        <v/>
      </c>
      <c r="H2576" s="9">
        <f>G2608=B2608</f>
        <v/>
      </c>
    </row>
    <row r="2577">
      <c r="B2577" s="11" t="n"/>
      <c r="C2577" s="8">
        <f>pinyin(B2609)</f>
        <v/>
      </c>
      <c r="E2577" s="8">
        <f>IFERROR(__xludf.DUMMYFUNCTION("GOOGLETRANSLATE(B2609, ""zh"", ""vi"")"),"#VALUE!")</f>
        <v/>
      </c>
      <c r="H2577" s="9">
        <f>G2609=B2609</f>
        <v/>
      </c>
    </row>
    <row r="2578">
      <c r="B2578" s="11" t="n"/>
      <c r="C2578" s="8">
        <f>pinyin(B2610)</f>
        <v/>
      </c>
      <c r="E2578" s="8">
        <f>IFERROR(__xludf.DUMMYFUNCTION("GOOGLETRANSLATE(B2610, ""zh"", ""vi"")"),"#VALUE!")</f>
        <v/>
      </c>
      <c r="H2578" s="9">
        <f>G2610=B2610</f>
        <v/>
      </c>
    </row>
    <row r="2579">
      <c r="B2579" s="11" t="n"/>
      <c r="C2579" s="8">
        <f>pinyin(B2611)</f>
        <v/>
      </c>
      <c r="E2579" s="8">
        <f>IFERROR(__xludf.DUMMYFUNCTION("GOOGLETRANSLATE(B2611, ""zh"", ""vi"")"),"#VALUE!")</f>
        <v/>
      </c>
      <c r="H2579" s="9">
        <f>G2611=B2611</f>
        <v/>
      </c>
    </row>
    <row r="2580">
      <c r="B2580" s="11" t="n"/>
      <c r="C2580" s="8">
        <f>pinyin(B2612)</f>
        <v/>
      </c>
      <c r="E2580" s="8">
        <f>IFERROR(__xludf.DUMMYFUNCTION("GOOGLETRANSLATE(B2612, ""zh"", ""vi"")"),"#VALUE!")</f>
        <v/>
      </c>
      <c r="H2580" s="9">
        <f>G2612=B2612</f>
        <v/>
      </c>
    </row>
    <row r="2581">
      <c r="B2581" s="11" t="n"/>
      <c r="C2581" s="8">
        <f>pinyin(B2613)</f>
        <v/>
      </c>
      <c r="E2581" s="8">
        <f>IFERROR(__xludf.DUMMYFUNCTION("GOOGLETRANSLATE(B2613, ""zh"", ""vi"")"),"#VALUE!")</f>
        <v/>
      </c>
      <c r="H2581" s="9">
        <f>G2613=B2613</f>
        <v/>
      </c>
    </row>
    <row r="2582">
      <c r="B2582" s="11" t="n"/>
      <c r="C2582" s="8">
        <f>pinyin(B2614)</f>
        <v/>
      </c>
      <c r="E2582" s="8">
        <f>IFERROR(__xludf.DUMMYFUNCTION("GOOGLETRANSLATE(B2614, ""zh"", ""vi"")"),"#VALUE!")</f>
        <v/>
      </c>
      <c r="H2582" s="9">
        <f>G2614=B2614</f>
        <v/>
      </c>
    </row>
    <row r="2583">
      <c r="B2583" s="11" t="n"/>
      <c r="C2583" s="8">
        <f>pinyin(B2615)</f>
        <v/>
      </c>
      <c r="E2583" s="8">
        <f>IFERROR(__xludf.DUMMYFUNCTION("GOOGLETRANSLATE(B2615, ""zh"", ""vi"")"),"#VALUE!")</f>
        <v/>
      </c>
      <c r="H2583" s="9">
        <f>G2615=B2615</f>
        <v/>
      </c>
    </row>
    <row r="2584">
      <c r="B2584" s="11" t="n"/>
      <c r="C2584" s="8">
        <f>pinyin(B2616)</f>
        <v/>
      </c>
      <c r="E2584" s="8">
        <f>IFERROR(__xludf.DUMMYFUNCTION("GOOGLETRANSLATE(B2616, ""zh"", ""vi"")"),"#VALUE!")</f>
        <v/>
      </c>
      <c r="H2584" s="9">
        <f>G2616=B2616</f>
        <v/>
      </c>
    </row>
    <row r="2585">
      <c r="B2585" s="11" t="n"/>
      <c r="C2585" s="8">
        <f>pinyin(B2617)</f>
        <v/>
      </c>
      <c r="E2585" s="8">
        <f>IFERROR(__xludf.DUMMYFUNCTION("GOOGLETRANSLATE(B2617, ""zh"", ""vi"")"),"#VALUE!")</f>
        <v/>
      </c>
      <c r="H2585" s="9">
        <f>G2617=B2617</f>
        <v/>
      </c>
    </row>
    <row r="2586">
      <c r="B2586" s="11" t="n"/>
      <c r="C2586" s="8">
        <f>pinyin(B2618)</f>
        <v/>
      </c>
      <c r="E2586" s="8">
        <f>IFERROR(__xludf.DUMMYFUNCTION("GOOGLETRANSLATE(B2618, ""zh"", ""vi"")"),"#VALUE!")</f>
        <v/>
      </c>
      <c r="H2586" s="9">
        <f>G2618=B2618</f>
        <v/>
      </c>
    </row>
    <row r="2587">
      <c r="B2587" s="11" t="n"/>
      <c r="C2587" s="8">
        <f>pinyin(B2619)</f>
        <v/>
      </c>
      <c r="E2587" s="8">
        <f>IFERROR(__xludf.DUMMYFUNCTION("GOOGLETRANSLATE(B2619, ""zh"", ""vi"")"),"#VALUE!")</f>
        <v/>
      </c>
      <c r="H2587" s="9">
        <f>G2619=B2619</f>
        <v/>
      </c>
    </row>
    <row r="2588">
      <c r="B2588" s="11" t="n"/>
      <c r="C2588" s="8">
        <f>pinyin(B2620)</f>
        <v/>
      </c>
      <c r="E2588" s="8">
        <f>IFERROR(__xludf.DUMMYFUNCTION("GOOGLETRANSLATE(B2620, ""zh"", ""vi"")"),"#VALUE!")</f>
        <v/>
      </c>
      <c r="H2588" s="9">
        <f>G2620=B2620</f>
        <v/>
      </c>
    </row>
    <row r="2589">
      <c r="B2589" s="11" t="n"/>
      <c r="C2589" s="8">
        <f>pinyin(B2621)</f>
        <v/>
      </c>
      <c r="E2589" s="8">
        <f>IFERROR(__xludf.DUMMYFUNCTION("GOOGLETRANSLATE(B2621, ""zh"", ""vi"")"),"#VALUE!")</f>
        <v/>
      </c>
      <c r="H2589" s="9">
        <f>G2621=B2621</f>
        <v/>
      </c>
    </row>
    <row r="2590">
      <c r="B2590" s="11" t="n"/>
      <c r="C2590" s="8">
        <f>pinyin(B2622)</f>
        <v/>
      </c>
      <c r="E2590" s="8">
        <f>IFERROR(__xludf.DUMMYFUNCTION("GOOGLETRANSLATE(B2622, ""zh"", ""vi"")"),"#VALUE!")</f>
        <v/>
      </c>
      <c r="H2590" s="9">
        <f>G2622=B2622</f>
        <v/>
      </c>
    </row>
    <row r="2591">
      <c r="B2591" s="11" t="n"/>
      <c r="C2591" s="8">
        <f>pinyin(B2623)</f>
        <v/>
      </c>
      <c r="E2591" s="8">
        <f>IFERROR(__xludf.DUMMYFUNCTION("GOOGLETRANSLATE(B2623, ""zh"", ""vi"")"),"#VALUE!")</f>
        <v/>
      </c>
      <c r="H2591" s="9">
        <f>G2623=B2623</f>
        <v/>
      </c>
    </row>
    <row r="2592">
      <c r="B2592" s="11" t="n"/>
      <c r="C2592" s="8">
        <f>pinyin(B2624)</f>
        <v/>
      </c>
      <c r="E2592" s="8">
        <f>IFERROR(__xludf.DUMMYFUNCTION("GOOGLETRANSLATE(B2624, ""zh"", ""vi"")"),"#VALUE!")</f>
        <v/>
      </c>
      <c r="H2592" s="9">
        <f>G2624=B2624</f>
        <v/>
      </c>
    </row>
    <row r="2593">
      <c r="B2593" s="11" t="n"/>
      <c r="C2593" s="8">
        <f>pinyin(B2625)</f>
        <v/>
      </c>
      <c r="E2593" s="8">
        <f>IFERROR(__xludf.DUMMYFUNCTION("GOOGLETRANSLATE(B2625, ""zh"", ""vi"")"),"#VALUE!")</f>
        <v/>
      </c>
      <c r="H2593" s="9">
        <f>G2625=B2625</f>
        <v/>
      </c>
    </row>
    <row r="2594">
      <c r="B2594" s="11" t="n"/>
      <c r="C2594" s="8">
        <f>pinyin(B2626)</f>
        <v/>
      </c>
      <c r="E2594" s="8">
        <f>IFERROR(__xludf.DUMMYFUNCTION("GOOGLETRANSLATE(B2626, ""zh"", ""vi"")"),"#VALUE!")</f>
        <v/>
      </c>
      <c r="H2594" s="9">
        <f>G2626=B2626</f>
        <v/>
      </c>
    </row>
    <row r="2595">
      <c r="B2595" s="11" t="n"/>
      <c r="C2595" s="8">
        <f>pinyin(B2627)</f>
        <v/>
      </c>
      <c r="E2595" s="8">
        <f>IFERROR(__xludf.DUMMYFUNCTION("GOOGLETRANSLATE(B2627, ""zh"", ""vi"")"),"#VALUE!")</f>
        <v/>
      </c>
      <c r="H2595" s="9">
        <f>G2627=B2627</f>
        <v/>
      </c>
    </row>
    <row r="2596">
      <c r="B2596" s="11" t="n"/>
      <c r="C2596" s="8">
        <f>pinyin(B2628)</f>
        <v/>
      </c>
      <c r="E2596" s="8">
        <f>IFERROR(__xludf.DUMMYFUNCTION("GOOGLETRANSLATE(B2628, ""zh"", ""vi"")"),"#VALUE!")</f>
        <v/>
      </c>
      <c r="H2596" s="9">
        <f>G2628=B2628</f>
        <v/>
      </c>
    </row>
    <row r="2597">
      <c r="B2597" s="11" t="n"/>
      <c r="C2597" s="8">
        <f>pinyin(B2629)</f>
        <v/>
      </c>
      <c r="E2597" s="8">
        <f>IFERROR(__xludf.DUMMYFUNCTION("GOOGLETRANSLATE(B2629, ""zh"", ""vi"")"),"#VALUE!")</f>
        <v/>
      </c>
      <c r="H2597" s="9">
        <f>G2629=B2629</f>
        <v/>
      </c>
    </row>
    <row r="2598">
      <c r="B2598" s="11" t="n"/>
      <c r="C2598" s="8">
        <f>pinyin(B2630)</f>
        <v/>
      </c>
      <c r="E2598" s="8">
        <f>IFERROR(__xludf.DUMMYFUNCTION("GOOGLETRANSLATE(B2630, ""zh"", ""vi"")"),"#VALUE!")</f>
        <v/>
      </c>
      <c r="H2598" s="9">
        <f>G2630=B2630</f>
        <v/>
      </c>
    </row>
    <row r="2599">
      <c r="B2599" s="11" t="n"/>
      <c r="C2599" s="8">
        <f>pinyin(B2631)</f>
        <v/>
      </c>
      <c r="E2599" s="8">
        <f>IFERROR(__xludf.DUMMYFUNCTION("GOOGLETRANSLATE(B2631, ""zh"", ""vi"")"),"#VALUE!")</f>
        <v/>
      </c>
      <c r="H2599" s="9">
        <f>G2631=B2631</f>
        <v/>
      </c>
    </row>
    <row r="2600">
      <c r="B2600" s="11" t="n"/>
      <c r="C2600" s="8">
        <f>pinyin(B2632)</f>
        <v/>
      </c>
      <c r="E2600" s="8">
        <f>IFERROR(__xludf.DUMMYFUNCTION("GOOGLETRANSLATE(B2632, ""zh"", ""vi"")"),"#VALUE!")</f>
        <v/>
      </c>
      <c r="H2600" s="9">
        <f>G2632=B2632</f>
        <v/>
      </c>
    </row>
    <row r="2601">
      <c r="B2601" s="11" t="n"/>
      <c r="C2601" s="8">
        <f>pinyin(B2633)</f>
        <v/>
      </c>
      <c r="E2601" s="8">
        <f>IFERROR(__xludf.DUMMYFUNCTION("GOOGLETRANSLATE(B2633, ""zh"", ""vi"")"),"#VALUE!")</f>
        <v/>
      </c>
      <c r="H2601" s="9">
        <f>G2633=B2633</f>
        <v/>
      </c>
    </row>
    <row r="2602">
      <c r="B2602" s="11" t="n"/>
      <c r="C2602" s="8">
        <f>pinyin(B2634)</f>
        <v/>
      </c>
      <c r="E2602" s="8">
        <f>IFERROR(__xludf.DUMMYFUNCTION("GOOGLETRANSLATE(B2634, ""zh"", ""vi"")"),"#VALUE!")</f>
        <v/>
      </c>
      <c r="H2602" s="9">
        <f>G2634=B2634</f>
        <v/>
      </c>
    </row>
    <row r="2603">
      <c r="B2603" s="11" t="n"/>
      <c r="C2603" s="8">
        <f>pinyin(B2635)</f>
        <v/>
      </c>
      <c r="E2603" s="8">
        <f>IFERROR(__xludf.DUMMYFUNCTION("GOOGLETRANSLATE(B2635, ""zh"", ""vi"")"),"#VALUE!")</f>
        <v/>
      </c>
      <c r="H2603" s="9">
        <f>G2635=B2635</f>
        <v/>
      </c>
    </row>
    <row r="2604">
      <c r="B2604" s="11" t="n"/>
      <c r="C2604" s="8">
        <f>pinyin(B2636)</f>
        <v/>
      </c>
      <c r="E2604" s="8">
        <f>IFERROR(__xludf.DUMMYFUNCTION("GOOGLETRANSLATE(B2636, ""zh"", ""vi"")"),"#VALUE!")</f>
        <v/>
      </c>
      <c r="H2604" s="9">
        <f>G2636=B2636</f>
        <v/>
      </c>
    </row>
    <row r="2605">
      <c r="B2605" s="11" t="n"/>
      <c r="C2605" s="8">
        <f>pinyin(B2637)</f>
        <v/>
      </c>
      <c r="E2605" s="8">
        <f>IFERROR(__xludf.DUMMYFUNCTION("GOOGLETRANSLATE(B2637, ""zh"", ""vi"")"),"#VALUE!")</f>
        <v/>
      </c>
      <c r="H2605" s="9">
        <f>G2637=B2637</f>
        <v/>
      </c>
    </row>
    <row r="2606">
      <c r="B2606" s="11" t="n"/>
      <c r="C2606" s="8">
        <f>pinyin(B2638)</f>
        <v/>
      </c>
      <c r="E2606" s="8">
        <f>IFERROR(__xludf.DUMMYFUNCTION("GOOGLETRANSLATE(B2638, ""zh"", ""vi"")"),"#VALUE!")</f>
        <v/>
      </c>
      <c r="H2606" s="9">
        <f>G2638=B2638</f>
        <v/>
      </c>
    </row>
    <row r="2607">
      <c r="B2607" s="11" t="n"/>
      <c r="C2607" s="8">
        <f>pinyin(B2639)</f>
        <v/>
      </c>
      <c r="E2607" s="8">
        <f>IFERROR(__xludf.DUMMYFUNCTION("GOOGLETRANSLATE(B2639, ""zh"", ""vi"")"),"#VALUE!")</f>
        <v/>
      </c>
      <c r="H2607" s="9">
        <f>G2639=B2639</f>
        <v/>
      </c>
    </row>
    <row r="2608">
      <c r="B2608" s="11" t="n"/>
      <c r="C2608" s="8">
        <f>pinyin(B2640)</f>
        <v/>
      </c>
      <c r="E2608" s="8">
        <f>IFERROR(__xludf.DUMMYFUNCTION("GOOGLETRANSLATE(B2640, ""zh"", ""vi"")"),"#VALUE!")</f>
        <v/>
      </c>
      <c r="H2608" s="9">
        <f>G2640=B2640</f>
        <v/>
      </c>
    </row>
    <row r="2609">
      <c r="B2609" s="11" t="n"/>
      <c r="C2609" s="8">
        <f>pinyin(B2641)</f>
        <v/>
      </c>
      <c r="E2609" s="8">
        <f>IFERROR(__xludf.DUMMYFUNCTION("GOOGLETRANSLATE(B2641, ""zh"", ""vi"")"),"#VALUE!")</f>
        <v/>
      </c>
      <c r="H2609" s="9">
        <f>G2641=B2641</f>
        <v/>
      </c>
    </row>
    <row r="2610">
      <c r="B2610" s="11" t="n"/>
      <c r="C2610" s="8">
        <f>pinyin(B2642)</f>
        <v/>
      </c>
      <c r="E2610" s="8">
        <f>IFERROR(__xludf.DUMMYFUNCTION("GOOGLETRANSLATE(B2642, ""zh"", ""vi"")"),"#VALUE!")</f>
        <v/>
      </c>
      <c r="H2610" s="9">
        <f>G2642=B2642</f>
        <v/>
      </c>
    </row>
    <row r="2611">
      <c r="B2611" s="11" t="n"/>
      <c r="C2611" s="8">
        <f>pinyin(B2643)</f>
        <v/>
      </c>
      <c r="E2611" s="8">
        <f>IFERROR(__xludf.DUMMYFUNCTION("GOOGLETRANSLATE(B2643, ""zh"", ""vi"")"),"#VALUE!")</f>
        <v/>
      </c>
      <c r="H2611" s="9">
        <f>G2643=B2643</f>
        <v/>
      </c>
    </row>
    <row r="2612">
      <c r="B2612" s="11" t="n"/>
      <c r="C2612" s="8">
        <f>pinyin(B2644)</f>
        <v/>
      </c>
      <c r="E2612" s="8">
        <f>IFERROR(__xludf.DUMMYFUNCTION("GOOGLETRANSLATE(B2644, ""zh"", ""vi"")"),"#VALUE!")</f>
        <v/>
      </c>
      <c r="H2612" s="9">
        <f>G2644=B2644</f>
        <v/>
      </c>
    </row>
    <row r="2613">
      <c r="B2613" s="11" t="n"/>
      <c r="C2613" s="8">
        <f>pinyin(B2645)</f>
        <v/>
      </c>
      <c r="E2613" s="8">
        <f>IFERROR(__xludf.DUMMYFUNCTION("GOOGLETRANSLATE(B2645, ""zh"", ""vi"")"),"#VALUE!")</f>
        <v/>
      </c>
      <c r="H2613" s="9">
        <f>G2645=B2645</f>
        <v/>
      </c>
    </row>
    <row r="2614">
      <c r="B2614" s="11" t="n"/>
      <c r="C2614" s="8">
        <f>pinyin(B2646)</f>
        <v/>
      </c>
      <c r="E2614" s="8">
        <f>IFERROR(__xludf.DUMMYFUNCTION("GOOGLETRANSLATE(B2646, ""zh"", ""vi"")"),"#VALUE!")</f>
        <v/>
      </c>
      <c r="H2614" s="9">
        <f>G2646=B2646</f>
        <v/>
      </c>
    </row>
    <row r="2615">
      <c r="B2615" s="11" t="n"/>
      <c r="C2615" s="8">
        <f>pinyin(B2647)</f>
        <v/>
      </c>
      <c r="E2615" s="8">
        <f>IFERROR(__xludf.DUMMYFUNCTION("GOOGLETRANSLATE(B2647, ""zh"", ""vi"")"),"#VALUE!")</f>
        <v/>
      </c>
      <c r="H2615" s="9">
        <f>G2647=B2647</f>
        <v/>
      </c>
    </row>
    <row r="2616">
      <c r="B2616" s="11" t="n"/>
      <c r="C2616" s="8">
        <f>pinyin(B2648)</f>
        <v/>
      </c>
      <c r="E2616" s="8">
        <f>IFERROR(__xludf.DUMMYFUNCTION("GOOGLETRANSLATE(B2648, ""zh"", ""vi"")"),"#VALUE!")</f>
        <v/>
      </c>
      <c r="H2616" s="9">
        <f>G2648=B2648</f>
        <v/>
      </c>
    </row>
    <row r="2617">
      <c r="B2617" s="11" t="n"/>
      <c r="C2617" s="8">
        <f>pinyin(B2649)</f>
        <v/>
      </c>
      <c r="E2617" s="8">
        <f>IFERROR(__xludf.DUMMYFUNCTION("GOOGLETRANSLATE(B2649, ""zh"", ""vi"")"),"#VALUE!")</f>
        <v/>
      </c>
      <c r="H2617" s="9">
        <f>G2649=B2649</f>
        <v/>
      </c>
    </row>
    <row r="2618">
      <c r="B2618" s="11" t="n"/>
      <c r="C2618" s="8">
        <f>pinyin(B2650)</f>
        <v/>
      </c>
      <c r="E2618" s="8">
        <f>IFERROR(__xludf.DUMMYFUNCTION("GOOGLETRANSLATE(B2650, ""zh"", ""vi"")"),"#VALUE!")</f>
        <v/>
      </c>
      <c r="H2618" s="9">
        <f>G2650=B2650</f>
        <v/>
      </c>
    </row>
    <row r="2619">
      <c r="B2619" s="11" t="n"/>
      <c r="C2619" s="8">
        <f>pinyin(B2651)</f>
        <v/>
      </c>
      <c r="E2619" s="8">
        <f>IFERROR(__xludf.DUMMYFUNCTION("GOOGLETRANSLATE(B2651, ""zh"", ""vi"")"),"#VALUE!")</f>
        <v/>
      </c>
      <c r="H2619" s="9">
        <f>G2651=B2651</f>
        <v/>
      </c>
    </row>
    <row r="2620">
      <c r="B2620" s="11" t="n"/>
      <c r="C2620" s="8">
        <f>pinyin(B2652)</f>
        <v/>
      </c>
      <c r="E2620" s="8">
        <f>IFERROR(__xludf.DUMMYFUNCTION("GOOGLETRANSLATE(B2652, ""zh"", ""vi"")"),"#VALUE!")</f>
        <v/>
      </c>
      <c r="H2620" s="9">
        <f>G2652=B2652</f>
        <v/>
      </c>
    </row>
    <row r="2621">
      <c r="B2621" s="11" t="n"/>
      <c r="C2621" s="8">
        <f>pinyin(B2653)</f>
        <v/>
      </c>
      <c r="E2621" s="8">
        <f>IFERROR(__xludf.DUMMYFUNCTION("GOOGLETRANSLATE(B2653, ""zh"", ""vi"")"),"#VALUE!")</f>
        <v/>
      </c>
      <c r="H2621" s="9">
        <f>G2653=B2653</f>
        <v/>
      </c>
    </row>
    <row r="2622">
      <c r="B2622" s="11" t="n"/>
      <c r="C2622" s="8">
        <f>pinyin(B2654)</f>
        <v/>
      </c>
      <c r="E2622" s="8">
        <f>IFERROR(__xludf.DUMMYFUNCTION("GOOGLETRANSLATE(B2654, ""zh"", ""vi"")"),"#VALUE!")</f>
        <v/>
      </c>
      <c r="H2622" s="9">
        <f>G2654=B2654</f>
        <v/>
      </c>
    </row>
    <row r="2623">
      <c r="B2623" s="11" t="n"/>
      <c r="C2623" s="8">
        <f>pinyin(B2655)</f>
        <v/>
      </c>
      <c r="E2623" s="8">
        <f>IFERROR(__xludf.DUMMYFUNCTION("GOOGLETRANSLATE(B2655, ""zh"", ""vi"")"),"#VALUE!")</f>
        <v/>
      </c>
      <c r="H2623" s="9">
        <f>G2655=B2655</f>
        <v/>
      </c>
    </row>
    <row r="2624">
      <c r="B2624" s="11" t="n"/>
      <c r="C2624" s="8">
        <f>pinyin(B2656)</f>
        <v/>
      </c>
      <c r="E2624" s="8">
        <f>IFERROR(__xludf.DUMMYFUNCTION("GOOGLETRANSLATE(B2656, ""zh"", ""vi"")"),"#VALUE!")</f>
        <v/>
      </c>
      <c r="H2624" s="9">
        <f>G2656=B2656</f>
        <v/>
      </c>
    </row>
    <row r="2625">
      <c r="B2625" s="11" t="n"/>
      <c r="C2625" s="8">
        <f>pinyin(B2657)</f>
        <v/>
      </c>
      <c r="E2625" s="8">
        <f>IFERROR(__xludf.DUMMYFUNCTION("GOOGLETRANSLATE(B2657, ""zh"", ""vi"")"),"#VALUE!")</f>
        <v/>
      </c>
      <c r="H2625" s="9">
        <f>G2657=B2657</f>
        <v/>
      </c>
    </row>
    <row r="2626">
      <c r="B2626" s="11" t="n"/>
      <c r="C2626" s="8">
        <f>pinyin(B2658)</f>
        <v/>
      </c>
      <c r="E2626" s="8">
        <f>IFERROR(__xludf.DUMMYFUNCTION("GOOGLETRANSLATE(B2658, ""zh"", ""vi"")"),"#VALUE!")</f>
        <v/>
      </c>
      <c r="H2626" s="9">
        <f>G2658=B2658</f>
        <v/>
      </c>
    </row>
    <row r="2627">
      <c r="B2627" s="11" t="n"/>
      <c r="C2627" s="8">
        <f>pinyin(B2659)</f>
        <v/>
      </c>
      <c r="E2627" s="8">
        <f>IFERROR(__xludf.DUMMYFUNCTION("GOOGLETRANSLATE(B2659, ""zh"", ""vi"")"),"#VALUE!")</f>
        <v/>
      </c>
      <c r="H2627" s="9">
        <f>G2659=B2659</f>
        <v/>
      </c>
    </row>
    <row r="2628">
      <c r="B2628" s="11" t="n"/>
      <c r="C2628" s="8">
        <f>pinyin(B2660)</f>
        <v/>
      </c>
      <c r="E2628" s="8">
        <f>IFERROR(__xludf.DUMMYFUNCTION("GOOGLETRANSLATE(B2660, ""zh"", ""vi"")"),"#VALUE!")</f>
        <v/>
      </c>
      <c r="H2628" s="9">
        <f>G2660=B2660</f>
        <v/>
      </c>
    </row>
    <row r="2629">
      <c r="B2629" s="11" t="n"/>
      <c r="C2629" s="8">
        <f>pinyin(B2661)</f>
        <v/>
      </c>
      <c r="E2629" s="8">
        <f>IFERROR(__xludf.DUMMYFUNCTION("GOOGLETRANSLATE(B2661, ""zh"", ""vi"")"),"#VALUE!")</f>
        <v/>
      </c>
      <c r="H2629" s="9">
        <f>G2661=B2661</f>
        <v/>
      </c>
    </row>
    <row r="2630">
      <c r="B2630" s="11" t="n"/>
      <c r="C2630" s="8">
        <f>pinyin(B2662)</f>
        <v/>
      </c>
      <c r="E2630" s="8">
        <f>IFERROR(__xludf.DUMMYFUNCTION("GOOGLETRANSLATE(B2662, ""zh"", ""vi"")"),"#VALUE!")</f>
        <v/>
      </c>
      <c r="H2630" s="9">
        <f>G2662=B2662</f>
        <v/>
      </c>
    </row>
    <row r="2631">
      <c r="B2631" s="11" t="n"/>
      <c r="C2631" s="8">
        <f>pinyin(B2663)</f>
        <v/>
      </c>
      <c r="E2631" s="8">
        <f>IFERROR(__xludf.DUMMYFUNCTION("GOOGLETRANSLATE(B2663, ""zh"", ""vi"")"),"#VALUE!")</f>
        <v/>
      </c>
      <c r="H2631" s="9">
        <f>G2663=B2663</f>
        <v/>
      </c>
    </row>
    <row r="2632">
      <c r="B2632" s="11" t="n"/>
      <c r="C2632" s="8">
        <f>pinyin(B2664)</f>
        <v/>
      </c>
      <c r="E2632" s="8">
        <f>IFERROR(__xludf.DUMMYFUNCTION("GOOGLETRANSLATE(B2664, ""zh"", ""vi"")"),"#VALUE!")</f>
        <v/>
      </c>
      <c r="H2632" s="9">
        <f>G2664=B2664</f>
        <v/>
      </c>
    </row>
    <row r="2633">
      <c r="B2633" s="11" t="n"/>
      <c r="C2633" s="8">
        <f>pinyin(B2665)</f>
        <v/>
      </c>
      <c r="E2633" s="8">
        <f>IFERROR(__xludf.DUMMYFUNCTION("GOOGLETRANSLATE(B2665, ""zh"", ""vi"")"),"#VALUE!")</f>
        <v/>
      </c>
      <c r="H2633" s="9">
        <f>G2665=B2665</f>
        <v/>
      </c>
    </row>
    <row r="2634">
      <c r="B2634" s="11" t="n"/>
      <c r="C2634" s="8">
        <f>pinyin(B2666)</f>
        <v/>
      </c>
      <c r="E2634" s="8">
        <f>IFERROR(__xludf.DUMMYFUNCTION("GOOGLETRANSLATE(B2666, ""zh"", ""vi"")"),"#VALUE!")</f>
        <v/>
      </c>
      <c r="H2634" s="9">
        <f>G2666=B2666</f>
        <v/>
      </c>
    </row>
    <row r="2635">
      <c r="B2635" s="11" t="n"/>
      <c r="C2635" s="8">
        <f>pinyin(B2667)</f>
        <v/>
      </c>
      <c r="E2635" s="8">
        <f>IFERROR(__xludf.DUMMYFUNCTION("GOOGLETRANSLATE(B2667, ""zh"", ""vi"")"),"#VALUE!")</f>
        <v/>
      </c>
      <c r="H2635" s="9">
        <f>G2667=B2667</f>
        <v/>
      </c>
    </row>
    <row r="2636">
      <c r="B2636" s="11" t="n"/>
      <c r="C2636" s="8">
        <f>pinyin(B2668)</f>
        <v/>
      </c>
      <c r="E2636" s="8">
        <f>IFERROR(__xludf.DUMMYFUNCTION("GOOGLETRANSLATE(B2668, ""zh"", ""vi"")"),"#VALUE!")</f>
        <v/>
      </c>
      <c r="H2636" s="9">
        <f>G2668=B2668</f>
        <v/>
      </c>
    </row>
    <row r="2637">
      <c r="B2637" s="11" t="n"/>
      <c r="C2637" s="8">
        <f>pinyin(B2669)</f>
        <v/>
      </c>
      <c r="E2637" s="8">
        <f>IFERROR(__xludf.DUMMYFUNCTION("GOOGLETRANSLATE(B2669, ""zh"", ""vi"")"),"#VALUE!")</f>
        <v/>
      </c>
      <c r="H2637" s="9">
        <f>G2669=B2669</f>
        <v/>
      </c>
    </row>
    <row r="2638">
      <c r="B2638" s="11" t="n"/>
      <c r="C2638" s="8">
        <f>pinyin(B2670)</f>
        <v/>
      </c>
      <c r="E2638" s="8">
        <f>IFERROR(__xludf.DUMMYFUNCTION("GOOGLETRANSLATE(B2670, ""zh"", ""vi"")"),"#VALUE!")</f>
        <v/>
      </c>
      <c r="H2638" s="9">
        <f>G2670=B2670</f>
        <v/>
      </c>
    </row>
    <row r="2639">
      <c r="B2639" s="11" t="n"/>
      <c r="C2639" s="8">
        <f>pinyin(B2671)</f>
        <v/>
      </c>
      <c r="E2639" s="8">
        <f>IFERROR(__xludf.DUMMYFUNCTION("GOOGLETRANSLATE(B2671, ""zh"", ""vi"")"),"#VALUE!")</f>
        <v/>
      </c>
      <c r="H2639" s="9">
        <f>G2671=B2671</f>
        <v/>
      </c>
    </row>
    <row r="2640">
      <c r="B2640" s="11" t="n"/>
      <c r="C2640" s="8">
        <f>pinyin(B2672)</f>
        <v/>
      </c>
      <c r="E2640" s="8">
        <f>IFERROR(__xludf.DUMMYFUNCTION("GOOGLETRANSLATE(B2672, ""zh"", ""vi"")"),"#VALUE!")</f>
        <v/>
      </c>
      <c r="H2640" s="9">
        <f>G2672=B2672</f>
        <v/>
      </c>
    </row>
    <row r="2641">
      <c r="B2641" s="11" t="n"/>
      <c r="C2641" s="8">
        <f>pinyin(B2673)</f>
        <v/>
      </c>
      <c r="E2641" s="8">
        <f>IFERROR(__xludf.DUMMYFUNCTION("GOOGLETRANSLATE(B2673, ""zh"", ""vi"")"),"#VALUE!")</f>
        <v/>
      </c>
      <c r="H2641" s="9">
        <f>G2673=B2673</f>
        <v/>
      </c>
    </row>
    <row r="2642">
      <c r="B2642" s="11" t="n"/>
      <c r="C2642" s="8">
        <f>pinyin(B2674)</f>
        <v/>
      </c>
      <c r="E2642" s="8">
        <f>IFERROR(__xludf.DUMMYFUNCTION("GOOGLETRANSLATE(B2674, ""zh"", ""vi"")"),"#VALUE!")</f>
        <v/>
      </c>
      <c r="H2642" s="9">
        <f>G2674=B2674</f>
        <v/>
      </c>
    </row>
    <row r="2643">
      <c r="B2643" s="11" t="n"/>
      <c r="C2643" s="8">
        <f>pinyin(B2675)</f>
        <v/>
      </c>
      <c r="E2643" s="8">
        <f>IFERROR(__xludf.DUMMYFUNCTION("GOOGLETRANSLATE(B2675, ""zh"", ""vi"")"),"#VALUE!")</f>
        <v/>
      </c>
      <c r="H2643" s="9">
        <f>G2675=B2675</f>
        <v/>
      </c>
    </row>
    <row r="2644">
      <c r="B2644" s="11" t="n"/>
      <c r="C2644" s="8">
        <f>pinyin(B2676)</f>
        <v/>
      </c>
      <c r="E2644" s="8">
        <f>IFERROR(__xludf.DUMMYFUNCTION("GOOGLETRANSLATE(B2676, ""zh"", ""vi"")"),"#VALUE!")</f>
        <v/>
      </c>
      <c r="H2644" s="9">
        <f>G2676=B2676</f>
        <v/>
      </c>
    </row>
    <row r="2645">
      <c r="B2645" s="11" t="n"/>
      <c r="C2645" s="8">
        <f>pinyin(B2677)</f>
        <v/>
      </c>
      <c r="E2645" s="8">
        <f>IFERROR(__xludf.DUMMYFUNCTION("GOOGLETRANSLATE(B2677, ""zh"", ""vi"")"),"#VALUE!")</f>
        <v/>
      </c>
      <c r="H2645" s="9">
        <f>G2677=B2677</f>
        <v/>
      </c>
    </row>
    <row r="2646">
      <c r="B2646" s="11" t="n"/>
      <c r="C2646" s="8">
        <f>pinyin(B2678)</f>
        <v/>
      </c>
      <c r="E2646" s="8">
        <f>IFERROR(__xludf.DUMMYFUNCTION("GOOGLETRANSLATE(B2678, ""zh"", ""vi"")"),"#VALUE!")</f>
        <v/>
      </c>
      <c r="H2646" s="9">
        <f>G2678=B2678</f>
        <v/>
      </c>
    </row>
    <row r="2647">
      <c r="B2647" s="11" t="n"/>
      <c r="C2647" s="8">
        <f>pinyin(B2679)</f>
        <v/>
      </c>
      <c r="E2647" s="8">
        <f>IFERROR(__xludf.DUMMYFUNCTION("GOOGLETRANSLATE(B2679, ""zh"", ""vi"")"),"#VALUE!")</f>
        <v/>
      </c>
      <c r="H2647" s="9">
        <f>G2679=B2679</f>
        <v/>
      </c>
    </row>
    <row r="2648">
      <c r="B2648" s="11" t="n"/>
      <c r="C2648" s="8">
        <f>pinyin(B2680)</f>
        <v/>
      </c>
      <c r="E2648" s="8">
        <f>IFERROR(__xludf.DUMMYFUNCTION("GOOGLETRANSLATE(B2680, ""zh"", ""vi"")"),"#VALUE!")</f>
        <v/>
      </c>
      <c r="H2648" s="9">
        <f>G2680=B2680</f>
        <v/>
      </c>
    </row>
    <row r="2649">
      <c r="B2649" s="11" t="n"/>
      <c r="C2649" s="8">
        <f>pinyin(B2681)</f>
        <v/>
      </c>
      <c r="E2649" s="8">
        <f>IFERROR(__xludf.DUMMYFUNCTION("GOOGLETRANSLATE(B2681, ""zh"", ""vi"")"),"#VALUE!")</f>
        <v/>
      </c>
      <c r="H2649" s="9">
        <f>G2681=B2681</f>
        <v/>
      </c>
    </row>
    <row r="2650">
      <c r="B2650" s="11" t="n"/>
      <c r="C2650" s="8">
        <f>pinyin(B2682)</f>
        <v/>
      </c>
      <c r="E2650" s="8">
        <f>IFERROR(__xludf.DUMMYFUNCTION("GOOGLETRANSLATE(B2682, ""zh"", ""vi"")"),"#VALUE!")</f>
        <v/>
      </c>
      <c r="H2650" s="9">
        <f>G2682=B2682</f>
        <v/>
      </c>
    </row>
    <row r="2651">
      <c r="B2651" s="11" t="n"/>
      <c r="C2651" s="8">
        <f>pinyin(B2683)</f>
        <v/>
      </c>
      <c r="E2651" s="8">
        <f>IFERROR(__xludf.DUMMYFUNCTION("GOOGLETRANSLATE(B2683, ""zh"", ""vi"")"),"#VALUE!")</f>
        <v/>
      </c>
      <c r="H2651" s="9">
        <f>G2683=B2683</f>
        <v/>
      </c>
    </row>
    <row r="2652">
      <c r="B2652" s="11" t="n"/>
      <c r="C2652" s="8">
        <f>pinyin(B2684)</f>
        <v/>
      </c>
      <c r="E2652" s="8">
        <f>IFERROR(__xludf.DUMMYFUNCTION("GOOGLETRANSLATE(B2684, ""zh"", ""vi"")"),"#VALUE!")</f>
        <v/>
      </c>
      <c r="H2652" s="9">
        <f>G2684=B2684</f>
        <v/>
      </c>
    </row>
    <row r="2653">
      <c r="B2653" s="11" t="n"/>
      <c r="C2653" s="8">
        <f>pinyin(B2685)</f>
        <v/>
      </c>
      <c r="E2653" s="8">
        <f>IFERROR(__xludf.DUMMYFUNCTION("GOOGLETRANSLATE(B2685, ""zh"", ""vi"")"),"#VALUE!")</f>
        <v/>
      </c>
      <c r="H2653" s="9">
        <f>G2685=B2685</f>
        <v/>
      </c>
    </row>
    <row r="2654">
      <c r="B2654" s="11" t="n"/>
      <c r="C2654" s="8">
        <f>pinyin(B2686)</f>
        <v/>
      </c>
      <c r="E2654" s="8">
        <f>IFERROR(__xludf.DUMMYFUNCTION("GOOGLETRANSLATE(B2686, ""zh"", ""vi"")"),"#VALUE!")</f>
        <v/>
      </c>
      <c r="H2654" s="9">
        <f>G2686=B2686</f>
        <v/>
      </c>
    </row>
    <row r="2655">
      <c r="B2655" s="11" t="n"/>
      <c r="C2655" s="8">
        <f>pinyin(B2687)</f>
        <v/>
      </c>
      <c r="E2655" s="8">
        <f>IFERROR(__xludf.DUMMYFUNCTION("GOOGLETRANSLATE(B2687, ""zh"", ""vi"")"),"#VALUE!")</f>
        <v/>
      </c>
      <c r="H2655" s="9">
        <f>G2687=B2687</f>
        <v/>
      </c>
    </row>
    <row r="2656">
      <c r="B2656" s="11" t="n"/>
      <c r="C2656" s="8">
        <f>pinyin(B2688)</f>
        <v/>
      </c>
      <c r="E2656" s="8">
        <f>IFERROR(__xludf.DUMMYFUNCTION("GOOGLETRANSLATE(B2688, ""zh"", ""vi"")"),"#VALUE!")</f>
        <v/>
      </c>
      <c r="H2656" s="9">
        <f>G2688=B2688</f>
        <v/>
      </c>
    </row>
    <row r="2657">
      <c r="B2657" s="11" t="n"/>
      <c r="C2657" s="8">
        <f>pinyin(B2689)</f>
        <v/>
      </c>
      <c r="E2657" s="8">
        <f>IFERROR(__xludf.DUMMYFUNCTION("GOOGLETRANSLATE(B2689, ""zh"", ""vi"")"),"#VALUE!")</f>
        <v/>
      </c>
      <c r="H2657" s="9">
        <f>G2689=B2689</f>
        <v/>
      </c>
    </row>
    <row r="2658">
      <c r="B2658" s="11" t="n"/>
      <c r="C2658" s="8">
        <f>pinyin(B2690)</f>
        <v/>
      </c>
      <c r="E2658" s="8">
        <f>IFERROR(__xludf.DUMMYFUNCTION("GOOGLETRANSLATE(B2690, ""zh"", ""vi"")"),"#VALUE!")</f>
        <v/>
      </c>
      <c r="H2658" s="9">
        <f>G2690=B2690</f>
        <v/>
      </c>
    </row>
    <row r="2659">
      <c r="B2659" s="11" t="n"/>
      <c r="C2659" s="8">
        <f>pinyin(B2691)</f>
        <v/>
      </c>
      <c r="E2659" s="8">
        <f>IFERROR(__xludf.DUMMYFUNCTION("GOOGLETRANSLATE(B2691, ""zh"", ""vi"")"),"#VALUE!")</f>
        <v/>
      </c>
      <c r="H2659" s="9">
        <f>G2691=B2691</f>
        <v/>
      </c>
    </row>
    <row r="2660">
      <c r="B2660" s="11" t="n"/>
      <c r="C2660" s="8">
        <f>pinyin(B2692)</f>
        <v/>
      </c>
      <c r="E2660" s="8">
        <f>IFERROR(__xludf.DUMMYFUNCTION("GOOGLETRANSLATE(B2692, ""zh"", ""vi"")"),"#VALUE!")</f>
        <v/>
      </c>
      <c r="H2660" s="9">
        <f>G2692=B2692</f>
        <v/>
      </c>
    </row>
    <row r="2661">
      <c r="B2661" s="11" t="n"/>
      <c r="C2661" s="8">
        <f>pinyin(B2693)</f>
        <v/>
      </c>
      <c r="E2661" s="8">
        <f>IFERROR(__xludf.DUMMYFUNCTION("GOOGLETRANSLATE(B2693, ""zh"", ""vi"")"),"#VALUE!")</f>
        <v/>
      </c>
      <c r="H2661" s="9">
        <f>G2693=B2693</f>
        <v/>
      </c>
    </row>
    <row r="2662">
      <c r="B2662" s="11" t="n"/>
      <c r="C2662" s="8">
        <f>pinyin(B2694)</f>
        <v/>
      </c>
      <c r="E2662" s="8">
        <f>IFERROR(__xludf.DUMMYFUNCTION("GOOGLETRANSLATE(B2694, ""zh"", ""vi"")"),"#VALUE!")</f>
        <v/>
      </c>
      <c r="H2662" s="9">
        <f>G2694=B2694</f>
        <v/>
      </c>
    </row>
    <row r="2663">
      <c r="B2663" s="11" t="n"/>
      <c r="C2663" s="8">
        <f>pinyin(B2695)</f>
        <v/>
      </c>
      <c r="E2663" s="8">
        <f>IFERROR(__xludf.DUMMYFUNCTION("GOOGLETRANSLATE(B2695, ""zh"", ""vi"")"),"#VALUE!")</f>
        <v/>
      </c>
      <c r="H2663" s="9">
        <f>G2695=B2695</f>
        <v/>
      </c>
    </row>
    <row r="2664">
      <c r="B2664" s="11" t="n"/>
      <c r="C2664" s="8">
        <f>pinyin(B2696)</f>
        <v/>
      </c>
      <c r="E2664" s="8">
        <f>IFERROR(__xludf.DUMMYFUNCTION("GOOGLETRANSLATE(B2696, ""zh"", ""vi"")"),"#VALUE!")</f>
        <v/>
      </c>
      <c r="H2664" s="9">
        <f>G2696=B2696</f>
        <v/>
      </c>
    </row>
    <row r="2665">
      <c r="B2665" s="11" t="n"/>
      <c r="C2665" s="8">
        <f>pinyin(B2697)</f>
        <v/>
      </c>
      <c r="E2665" s="8">
        <f>IFERROR(__xludf.DUMMYFUNCTION("GOOGLETRANSLATE(B2697, ""zh"", ""vi"")"),"#VALUE!")</f>
        <v/>
      </c>
      <c r="H2665" s="9">
        <f>G2697=B2697</f>
        <v/>
      </c>
    </row>
    <row r="2666">
      <c r="B2666" s="11" t="n"/>
      <c r="C2666" s="8">
        <f>pinyin(B2698)</f>
        <v/>
      </c>
      <c r="E2666" s="8">
        <f>IFERROR(__xludf.DUMMYFUNCTION("GOOGLETRANSLATE(B2698, ""zh"", ""vi"")"),"#VALUE!")</f>
        <v/>
      </c>
      <c r="H2666" s="9">
        <f>G2698=B2698</f>
        <v/>
      </c>
    </row>
    <row r="2667">
      <c r="B2667" s="11" t="n"/>
      <c r="C2667" s="8">
        <f>pinyin(B2699)</f>
        <v/>
      </c>
      <c r="E2667" s="8">
        <f>IFERROR(__xludf.DUMMYFUNCTION("GOOGLETRANSLATE(B2699, ""zh"", ""vi"")"),"#VALUE!")</f>
        <v/>
      </c>
      <c r="H2667" s="9">
        <f>G2699=B2699</f>
        <v/>
      </c>
    </row>
    <row r="2668">
      <c r="B2668" s="11" t="n"/>
      <c r="C2668" s="8">
        <f>pinyin(B2700)</f>
        <v/>
      </c>
      <c r="E2668" s="8">
        <f>IFERROR(__xludf.DUMMYFUNCTION("GOOGLETRANSLATE(B2700, ""zh"", ""vi"")"),"#VALUE!")</f>
        <v/>
      </c>
      <c r="H2668" s="9">
        <f>G2700=B2700</f>
        <v/>
      </c>
    </row>
    <row r="2669">
      <c r="B2669" s="11" t="n"/>
      <c r="C2669" s="8">
        <f>pinyin(B2701)</f>
        <v/>
      </c>
      <c r="E2669" s="8">
        <f>IFERROR(__xludf.DUMMYFUNCTION("GOOGLETRANSLATE(B2701, ""zh"", ""vi"")"),"#VALUE!")</f>
        <v/>
      </c>
      <c r="H2669" s="9">
        <f>G2701=B2701</f>
        <v/>
      </c>
    </row>
    <row r="2670">
      <c r="B2670" s="11" t="n"/>
      <c r="C2670" s="8">
        <f>pinyin(B2702)</f>
        <v/>
      </c>
      <c r="E2670" s="8">
        <f>IFERROR(__xludf.DUMMYFUNCTION("GOOGLETRANSLATE(B2702, ""zh"", ""vi"")"),"#VALUE!")</f>
        <v/>
      </c>
      <c r="H2670" s="9">
        <f>G2702=B2702</f>
        <v/>
      </c>
    </row>
    <row r="2671">
      <c r="B2671" s="11" t="n"/>
      <c r="C2671" s="8">
        <f>pinyin(B2703)</f>
        <v/>
      </c>
      <c r="E2671" s="8">
        <f>IFERROR(__xludf.DUMMYFUNCTION("GOOGLETRANSLATE(B2703, ""zh"", ""vi"")"),"#VALUE!")</f>
        <v/>
      </c>
      <c r="H2671" s="9">
        <f>G2703=B2703</f>
        <v/>
      </c>
    </row>
    <row r="2672">
      <c r="B2672" s="11" t="n"/>
      <c r="C2672" s="8">
        <f>pinyin(B2704)</f>
        <v/>
      </c>
      <c r="E2672" s="8">
        <f>IFERROR(__xludf.DUMMYFUNCTION("GOOGLETRANSLATE(B2704, ""zh"", ""vi"")"),"#VALUE!")</f>
        <v/>
      </c>
      <c r="H2672" s="9">
        <f>G2704=B2704</f>
        <v/>
      </c>
    </row>
    <row r="2673">
      <c r="B2673" s="11" t="n"/>
      <c r="C2673" s="8">
        <f>pinyin(B2705)</f>
        <v/>
      </c>
      <c r="E2673" s="8">
        <f>IFERROR(__xludf.DUMMYFUNCTION("GOOGLETRANSLATE(B2705, ""zh"", ""vi"")"),"#VALUE!")</f>
        <v/>
      </c>
      <c r="H2673" s="9">
        <f>G2705=B2705</f>
        <v/>
      </c>
    </row>
    <row r="2674">
      <c r="B2674" s="11" t="n"/>
      <c r="C2674" s="8">
        <f>pinyin(B2706)</f>
        <v/>
      </c>
      <c r="E2674" s="8">
        <f>IFERROR(__xludf.DUMMYFUNCTION("GOOGLETRANSLATE(B2706, ""zh"", ""vi"")"),"#VALUE!")</f>
        <v/>
      </c>
      <c r="H2674" s="9">
        <f>G2706=B2706</f>
        <v/>
      </c>
    </row>
    <row r="2675">
      <c r="B2675" s="11" t="n"/>
      <c r="C2675" s="8">
        <f>pinyin(B2707)</f>
        <v/>
      </c>
      <c r="E2675" s="8">
        <f>IFERROR(__xludf.DUMMYFUNCTION("GOOGLETRANSLATE(B2707, ""zh"", ""vi"")"),"#VALUE!")</f>
        <v/>
      </c>
      <c r="H2675" s="9">
        <f>G2707=B2707</f>
        <v/>
      </c>
    </row>
    <row r="2676">
      <c r="B2676" s="11" t="n"/>
      <c r="C2676" s="8">
        <f>pinyin(B2708)</f>
        <v/>
      </c>
      <c r="E2676" s="8">
        <f>IFERROR(__xludf.DUMMYFUNCTION("GOOGLETRANSLATE(B2708, ""zh"", ""vi"")"),"#VALUE!")</f>
        <v/>
      </c>
      <c r="H2676" s="9">
        <f>G2708=B2708</f>
        <v/>
      </c>
    </row>
    <row r="2677">
      <c r="B2677" s="11" t="n"/>
      <c r="C2677" s="8">
        <f>pinyin(B2709)</f>
        <v/>
      </c>
      <c r="E2677" s="8">
        <f>IFERROR(__xludf.DUMMYFUNCTION("GOOGLETRANSLATE(B2709, ""zh"", ""vi"")"),"#VALUE!")</f>
        <v/>
      </c>
      <c r="H2677" s="9">
        <f>G2709=B2709</f>
        <v/>
      </c>
    </row>
    <row r="2678">
      <c r="B2678" s="11" t="n"/>
      <c r="C2678" s="8">
        <f>pinyin(B2710)</f>
        <v/>
      </c>
      <c r="E2678" s="8">
        <f>IFERROR(__xludf.DUMMYFUNCTION("GOOGLETRANSLATE(B2710, ""zh"", ""vi"")"),"#VALUE!")</f>
        <v/>
      </c>
      <c r="H2678" s="9">
        <f>G2710=B2710</f>
        <v/>
      </c>
    </row>
    <row r="2679">
      <c r="B2679" s="11" t="n"/>
      <c r="C2679" s="8">
        <f>pinyin(B2711)</f>
        <v/>
      </c>
      <c r="E2679" s="8">
        <f>IFERROR(__xludf.DUMMYFUNCTION("GOOGLETRANSLATE(B2711, ""zh"", ""vi"")"),"#VALUE!")</f>
        <v/>
      </c>
      <c r="H2679" s="9">
        <f>G2711=B2711</f>
        <v/>
      </c>
    </row>
    <row r="2680">
      <c r="B2680" s="11" t="n"/>
      <c r="C2680" s="8">
        <f>pinyin(B2712)</f>
        <v/>
      </c>
      <c r="E2680" s="8">
        <f>IFERROR(__xludf.DUMMYFUNCTION("GOOGLETRANSLATE(B2712, ""zh"", ""vi"")"),"#VALUE!")</f>
        <v/>
      </c>
      <c r="H2680" s="9">
        <f>G2712=B2712</f>
        <v/>
      </c>
    </row>
    <row r="2681">
      <c r="B2681" s="11" t="n"/>
      <c r="C2681" s="8">
        <f>pinyin(B2713)</f>
        <v/>
      </c>
      <c r="E2681" s="8">
        <f>IFERROR(__xludf.DUMMYFUNCTION("GOOGLETRANSLATE(B2713, ""zh"", ""vi"")"),"#VALUE!")</f>
        <v/>
      </c>
      <c r="H2681" s="9">
        <f>G2713=B2713</f>
        <v/>
      </c>
    </row>
    <row r="2682">
      <c r="B2682" s="11" t="n"/>
      <c r="C2682" s="8">
        <f>pinyin(B2714)</f>
        <v/>
      </c>
      <c r="E2682" s="8">
        <f>IFERROR(__xludf.DUMMYFUNCTION("GOOGLETRANSLATE(B2714, ""zh"", ""vi"")"),"#VALUE!")</f>
        <v/>
      </c>
      <c r="H2682" s="9">
        <f>G2714=B2714</f>
        <v/>
      </c>
    </row>
    <row r="2683">
      <c r="B2683" s="11" t="n"/>
      <c r="C2683" s="8">
        <f>pinyin(B2715)</f>
        <v/>
      </c>
      <c r="E2683" s="8">
        <f>IFERROR(__xludf.DUMMYFUNCTION("GOOGLETRANSLATE(B2715, ""zh"", ""vi"")"),"#VALUE!")</f>
        <v/>
      </c>
      <c r="H2683" s="9">
        <f>G2715=B2715</f>
        <v/>
      </c>
    </row>
    <row r="2684">
      <c r="B2684" s="11" t="n"/>
      <c r="C2684" s="8">
        <f>pinyin(B2716)</f>
        <v/>
      </c>
      <c r="E2684" s="8">
        <f>IFERROR(__xludf.DUMMYFUNCTION("GOOGLETRANSLATE(B2716, ""zh"", ""vi"")"),"#VALUE!")</f>
        <v/>
      </c>
      <c r="H2684" s="9">
        <f>G2716=B2716</f>
        <v/>
      </c>
    </row>
    <row r="2685">
      <c r="B2685" s="11" t="n"/>
      <c r="C2685" s="8">
        <f>pinyin(B2717)</f>
        <v/>
      </c>
      <c r="E2685" s="8">
        <f>IFERROR(__xludf.DUMMYFUNCTION("GOOGLETRANSLATE(B2717, ""zh"", ""vi"")"),"#VALUE!")</f>
        <v/>
      </c>
      <c r="H2685" s="9">
        <f>G2717=B2717</f>
        <v/>
      </c>
    </row>
    <row r="2686">
      <c r="B2686" s="11" t="n"/>
      <c r="C2686" s="8">
        <f>pinyin(B2718)</f>
        <v/>
      </c>
      <c r="E2686" s="8">
        <f>IFERROR(__xludf.DUMMYFUNCTION("GOOGLETRANSLATE(B2718, ""zh"", ""vi"")"),"#VALUE!")</f>
        <v/>
      </c>
      <c r="H2686" s="9">
        <f>G2718=B2718</f>
        <v/>
      </c>
    </row>
    <row r="2687">
      <c r="B2687" s="11" t="n"/>
      <c r="C2687" s="8">
        <f>pinyin(B2719)</f>
        <v/>
      </c>
      <c r="E2687" s="8">
        <f>IFERROR(__xludf.DUMMYFUNCTION("GOOGLETRANSLATE(B2719, ""zh"", ""vi"")"),"#VALUE!")</f>
        <v/>
      </c>
      <c r="H2687" s="9">
        <f>G2719=B2719</f>
        <v/>
      </c>
    </row>
    <row r="2688">
      <c r="B2688" s="11" t="n"/>
      <c r="C2688" s="8">
        <f>pinyin(B2720)</f>
        <v/>
      </c>
      <c r="E2688" s="8">
        <f>IFERROR(__xludf.DUMMYFUNCTION("GOOGLETRANSLATE(B2720, ""zh"", ""vi"")"),"#VALUE!")</f>
        <v/>
      </c>
      <c r="H2688" s="9">
        <f>G2720=B2720</f>
        <v/>
      </c>
    </row>
    <row r="2689">
      <c r="B2689" s="11" t="n"/>
      <c r="C2689" s="8">
        <f>pinyin(B2721)</f>
        <v/>
      </c>
      <c r="E2689" s="8">
        <f>IFERROR(__xludf.DUMMYFUNCTION("GOOGLETRANSLATE(B2721, ""zh"", ""vi"")"),"#VALUE!")</f>
        <v/>
      </c>
      <c r="H2689" s="9">
        <f>G2721=B2721</f>
        <v/>
      </c>
    </row>
    <row r="2690">
      <c r="B2690" s="11" t="n"/>
      <c r="C2690" s="8">
        <f>pinyin(B2722)</f>
        <v/>
      </c>
      <c r="E2690" s="8">
        <f>IFERROR(__xludf.DUMMYFUNCTION("GOOGLETRANSLATE(B2722, ""zh"", ""vi"")"),"#VALUE!")</f>
        <v/>
      </c>
      <c r="H2690" s="9">
        <f>G2722=B2722</f>
        <v/>
      </c>
    </row>
    <row r="2691">
      <c r="B2691" s="11" t="n"/>
      <c r="C2691" s="8">
        <f>pinyin(B2723)</f>
        <v/>
      </c>
      <c r="E2691" s="8">
        <f>IFERROR(__xludf.DUMMYFUNCTION("GOOGLETRANSLATE(B2723, ""zh"", ""vi"")"),"#VALUE!")</f>
        <v/>
      </c>
      <c r="H2691" s="9">
        <f>G2723=B2723</f>
        <v/>
      </c>
    </row>
    <row r="2692">
      <c r="B2692" s="11" t="n"/>
      <c r="C2692" s="8">
        <f>pinyin(B2724)</f>
        <v/>
      </c>
      <c r="E2692" s="8">
        <f>IFERROR(__xludf.DUMMYFUNCTION("GOOGLETRANSLATE(B2724, ""zh"", ""vi"")"),"#VALUE!")</f>
        <v/>
      </c>
      <c r="H2692" s="9">
        <f>G2724=B2724</f>
        <v/>
      </c>
    </row>
    <row r="2693">
      <c r="B2693" s="11" t="n"/>
      <c r="C2693" s="8">
        <f>pinyin(B2725)</f>
        <v/>
      </c>
      <c r="E2693" s="8">
        <f>IFERROR(__xludf.DUMMYFUNCTION("GOOGLETRANSLATE(B2725, ""zh"", ""vi"")"),"#VALUE!")</f>
        <v/>
      </c>
      <c r="H2693" s="9">
        <f>G2725=B2725</f>
        <v/>
      </c>
    </row>
    <row r="2694">
      <c r="B2694" s="11" t="n"/>
      <c r="C2694" s="8">
        <f>pinyin(B2726)</f>
        <v/>
      </c>
      <c r="E2694" s="8">
        <f>IFERROR(__xludf.DUMMYFUNCTION("GOOGLETRANSLATE(B2726, ""zh"", ""vi"")"),"#VALUE!")</f>
        <v/>
      </c>
      <c r="H2694" s="9">
        <f>G2726=B2726</f>
        <v/>
      </c>
    </row>
    <row r="2695">
      <c r="B2695" s="11" t="n"/>
      <c r="C2695" s="8">
        <f>pinyin(B2727)</f>
        <v/>
      </c>
      <c r="E2695" s="8">
        <f>IFERROR(__xludf.DUMMYFUNCTION("GOOGLETRANSLATE(B2727, ""zh"", ""vi"")"),"#VALUE!")</f>
        <v/>
      </c>
      <c r="H2695" s="9">
        <f>G2727=B2727</f>
        <v/>
      </c>
    </row>
    <row r="2696">
      <c r="B2696" s="11" t="n"/>
      <c r="C2696" s="8">
        <f>pinyin(B2728)</f>
        <v/>
      </c>
      <c r="E2696" s="8">
        <f>IFERROR(__xludf.DUMMYFUNCTION("GOOGLETRANSLATE(B2728, ""zh"", ""vi"")"),"#VALUE!")</f>
        <v/>
      </c>
      <c r="H2696" s="9">
        <f>G2728=B2728</f>
        <v/>
      </c>
    </row>
    <row r="2697">
      <c r="B2697" s="11" t="n"/>
      <c r="C2697" s="8">
        <f>pinyin(B2729)</f>
        <v/>
      </c>
      <c r="E2697" s="8">
        <f>IFERROR(__xludf.DUMMYFUNCTION("GOOGLETRANSLATE(B2729, ""zh"", ""vi"")"),"#VALUE!")</f>
        <v/>
      </c>
      <c r="H2697" s="9">
        <f>G2729=B2729</f>
        <v/>
      </c>
    </row>
    <row r="2698">
      <c r="B2698" s="11" t="n"/>
      <c r="C2698" s="8">
        <f>pinyin(B2730)</f>
        <v/>
      </c>
      <c r="E2698" s="8">
        <f>IFERROR(__xludf.DUMMYFUNCTION("GOOGLETRANSLATE(B2730, ""zh"", ""vi"")"),"#VALUE!")</f>
        <v/>
      </c>
      <c r="H2698" s="9">
        <f>G2730=B2730</f>
        <v/>
      </c>
    </row>
    <row r="2699">
      <c r="B2699" s="11" t="n"/>
      <c r="C2699" s="8">
        <f>pinyin(B2731)</f>
        <v/>
      </c>
      <c r="E2699" s="8">
        <f>IFERROR(__xludf.DUMMYFUNCTION("GOOGLETRANSLATE(B2731, ""zh"", ""vi"")"),"#VALUE!")</f>
        <v/>
      </c>
      <c r="H2699" s="9">
        <f>G2731=B2731</f>
        <v/>
      </c>
    </row>
    <row r="2700">
      <c r="B2700" s="11" t="n"/>
      <c r="C2700" s="8">
        <f>pinyin(B2732)</f>
        <v/>
      </c>
      <c r="E2700" s="8">
        <f>IFERROR(__xludf.DUMMYFUNCTION("GOOGLETRANSLATE(B2732, ""zh"", ""vi"")"),"#VALUE!")</f>
        <v/>
      </c>
      <c r="H2700" s="9">
        <f>G2732=B2732</f>
        <v/>
      </c>
    </row>
    <row r="2701">
      <c r="B2701" s="11" t="n"/>
      <c r="C2701" s="8">
        <f>pinyin(B2733)</f>
        <v/>
      </c>
      <c r="E2701" s="8">
        <f>IFERROR(__xludf.DUMMYFUNCTION("GOOGLETRANSLATE(B2733, ""zh"", ""vi"")"),"#VALUE!")</f>
        <v/>
      </c>
      <c r="H2701" s="9">
        <f>G2733=B2733</f>
        <v/>
      </c>
    </row>
    <row r="2702">
      <c r="B2702" s="11" t="n"/>
      <c r="C2702" s="8">
        <f>pinyin(B2734)</f>
        <v/>
      </c>
      <c r="E2702" s="8">
        <f>IFERROR(__xludf.DUMMYFUNCTION("GOOGLETRANSLATE(B2734, ""zh"", ""vi"")"),"#VALUE!")</f>
        <v/>
      </c>
      <c r="H2702" s="9">
        <f>G2734=B2734</f>
        <v/>
      </c>
    </row>
    <row r="2703">
      <c r="B2703" s="11" t="n"/>
      <c r="C2703" s="8">
        <f>pinyin(B2735)</f>
        <v/>
      </c>
      <c r="E2703" s="8">
        <f>IFERROR(__xludf.DUMMYFUNCTION("GOOGLETRANSLATE(B2735, ""zh"", ""vi"")"),"#VALUE!")</f>
        <v/>
      </c>
      <c r="H2703" s="9">
        <f>G2735=B2735</f>
        <v/>
      </c>
    </row>
    <row r="2704">
      <c r="B2704" s="11" t="n"/>
      <c r="C2704" s="8">
        <f>pinyin(B2736)</f>
        <v/>
      </c>
      <c r="E2704" s="8">
        <f>IFERROR(__xludf.DUMMYFUNCTION("GOOGLETRANSLATE(B2736, ""zh"", ""vi"")"),"#VALUE!")</f>
        <v/>
      </c>
      <c r="H2704" s="9">
        <f>G2736=B2736</f>
        <v/>
      </c>
    </row>
    <row r="2705">
      <c r="B2705" s="11" t="n"/>
      <c r="C2705" s="8">
        <f>pinyin(B2737)</f>
        <v/>
      </c>
      <c r="E2705" s="8">
        <f>IFERROR(__xludf.DUMMYFUNCTION("GOOGLETRANSLATE(B2737, ""zh"", ""vi"")"),"#VALUE!")</f>
        <v/>
      </c>
      <c r="H2705" s="9">
        <f>G2737=B2737</f>
        <v/>
      </c>
    </row>
    <row r="2706">
      <c r="B2706" s="11" t="n"/>
      <c r="C2706" s="8">
        <f>pinyin(B2738)</f>
        <v/>
      </c>
      <c r="E2706" s="8">
        <f>IFERROR(__xludf.DUMMYFUNCTION("GOOGLETRANSLATE(B2738, ""zh"", ""vi"")"),"#VALUE!")</f>
        <v/>
      </c>
      <c r="H2706" s="9">
        <f>G2738=B2738</f>
        <v/>
      </c>
    </row>
    <row r="2707">
      <c r="B2707" s="11" t="n"/>
      <c r="C2707" s="8">
        <f>pinyin(B2739)</f>
        <v/>
      </c>
      <c r="E2707" s="8">
        <f>IFERROR(__xludf.DUMMYFUNCTION("GOOGLETRANSLATE(B2739, ""zh"", ""vi"")"),"#VALUE!")</f>
        <v/>
      </c>
      <c r="H2707" s="9">
        <f>G2739=B2739</f>
        <v/>
      </c>
    </row>
    <row r="2708">
      <c r="B2708" s="11" t="n"/>
      <c r="C2708" s="8">
        <f>pinyin(B2740)</f>
        <v/>
      </c>
      <c r="E2708" s="8">
        <f>IFERROR(__xludf.DUMMYFUNCTION("GOOGLETRANSLATE(B2740, ""zh"", ""vi"")"),"#VALUE!")</f>
        <v/>
      </c>
      <c r="H2708" s="9">
        <f>G2740=B2740</f>
        <v/>
      </c>
    </row>
    <row r="2709">
      <c r="B2709" s="11" t="n"/>
      <c r="C2709" s="8">
        <f>pinyin(B2741)</f>
        <v/>
      </c>
      <c r="E2709" s="8">
        <f>IFERROR(__xludf.DUMMYFUNCTION("GOOGLETRANSLATE(B2741, ""zh"", ""vi"")"),"#VALUE!")</f>
        <v/>
      </c>
      <c r="H2709" s="9">
        <f>G2741=B2741</f>
        <v/>
      </c>
    </row>
    <row r="2710">
      <c r="B2710" s="11" t="n"/>
      <c r="C2710" s="8">
        <f>pinyin(B2742)</f>
        <v/>
      </c>
      <c r="E2710" s="8">
        <f>IFERROR(__xludf.DUMMYFUNCTION("GOOGLETRANSLATE(B2742, ""zh"", ""vi"")"),"#VALUE!")</f>
        <v/>
      </c>
      <c r="H2710" s="9">
        <f>G2742=B2742</f>
        <v/>
      </c>
    </row>
    <row r="2711">
      <c r="B2711" s="11" t="n"/>
      <c r="C2711" s="8">
        <f>pinyin(B2743)</f>
        <v/>
      </c>
      <c r="E2711" s="8">
        <f>IFERROR(__xludf.DUMMYFUNCTION("GOOGLETRANSLATE(B2743, ""zh"", ""vi"")"),"#VALUE!")</f>
        <v/>
      </c>
      <c r="H2711" s="9">
        <f>G2743=B2743</f>
        <v/>
      </c>
    </row>
    <row r="2712">
      <c r="B2712" s="11" t="n"/>
      <c r="C2712" s="8">
        <f>pinyin(B2744)</f>
        <v/>
      </c>
      <c r="E2712" s="8">
        <f>IFERROR(__xludf.DUMMYFUNCTION("GOOGLETRANSLATE(B2744, ""zh"", ""vi"")"),"#VALUE!")</f>
        <v/>
      </c>
      <c r="H2712" s="9">
        <f>G2744=B2744</f>
        <v/>
      </c>
    </row>
    <row r="2713">
      <c r="B2713" s="11" t="n"/>
      <c r="C2713" s="8">
        <f>pinyin(B2745)</f>
        <v/>
      </c>
      <c r="E2713" s="8">
        <f>IFERROR(__xludf.DUMMYFUNCTION("GOOGLETRANSLATE(B2745, ""zh"", ""vi"")"),"#VALUE!")</f>
        <v/>
      </c>
      <c r="H2713" s="9">
        <f>G2745=B2745</f>
        <v/>
      </c>
    </row>
    <row r="2714">
      <c r="B2714" s="11" t="n"/>
      <c r="C2714" s="8">
        <f>pinyin(B2746)</f>
        <v/>
      </c>
      <c r="E2714" s="8">
        <f>IFERROR(__xludf.DUMMYFUNCTION("GOOGLETRANSLATE(B2746, ""zh"", ""vi"")"),"#VALUE!")</f>
        <v/>
      </c>
      <c r="H2714" s="9">
        <f>G2746=B2746</f>
        <v/>
      </c>
    </row>
    <row r="2715">
      <c r="B2715" s="11" t="n"/>
      <c r="C2715" s="8">
        <f>pinyin(B2747)</f>
        <v/>
      </c>
      <c r="E2715" s="8">
        <f>IFERROR(__xludf.DUMMYFUNCTION("GOOGLETRANSLATE(B2747, ""zh"", ""vi"")"),"#VALUE!")</f>
        <v/>
      </c>
      <c r="H2715" s="9">
        <f>G2747=B2747</f>
        <v/>
      </c>
    </row>
    <row r="2716">
      <c r="B2716" s="11" t="n"/>
      <c r="C2716" s="8">
        <f>pinyin(B2748)</f>
        <v/>
      </c>
      <c r="E2716" s="8">
        <f>IFERROR(__xludf.DUMMYFUNCTION("GOOGLETRANSLATE(B2748, ""zh"", ""vi"")"),"#VALUE!")</f>
        <v/>
      </c>
      <c r="H2716" s="9">
        <f>G2748=B2748</f>
        <v/>
      </c>
    </row>
    <row r="2717">
      <c r="B2717" s="11" t="n"/>
      <c r="C2717" s="8">
        <f>pinyin(B2749)</f>
        <v/>
      </c>
      <c r="E2717" s="8">
        <f>IFERROR(__xludf.DUMMYFUNCTION("GOOGLETRANSLATE(B2749, ""zh"", ""vi"")"),"#VALUE!")</f>
        <v/>
      </c>
      <c r="H2717" s="9">
        <f>G2749=B2749</f>
        <v/>
      </c>
    </row>
    <row r="2718">
      <c r="B2718" s="11" t="n"/>
      <c r="C2718" s="8">
        <f>pinyin(B2750)</f>
        <v/>
      </c>
      <c r="E2718" s="8">
        <f>IFERROR(__xludf.DUMMYFUNCTION("GOOGLETRANSLATE(B2750, ""zh"", ""vi"")"),"#VALUE!")</f>
        <v/>
      </c>
      <c r="H2718" s="9">
        <f>G2750=B2750</f>
        <v/>
      </c>
    </row>
    <row r="2719">
      <c r="B2719" s="11" t="n"/>
      <c r="C2719" s="8">
        <f>pinyin(B2751)</f>
        <v/>
      </c>
      <c r="E2719" s="8">
        <f>IFERROR(__xludf.DUMMYFUNCTION("GOOGLETRANSLATE(B2751, ""zh"", ""vi"")"),"#VALUE!")</f>
        <v/>
      </c>
      <c r="H2719" s="9">
        <f>G2751=B2751</f>
        <v/>
      </c>
    </row>
    <row r="2720">
      <c r="B2720" s="11" t="n"/>
      <c r="C2720" s="8">
        <f>pinyin(B2752)</f>
        <v/>
      </c>
      <c r="E2720" s="8">
        <f>IFERROR(__xludf.DUMMYFUNCTION("GOOGLETRANSLATE(B2752, ""zh"", ""vi"")"),"#VALUE!")</f>
        <v/>
      </c>
      <c r="H2720" s="9">
        <f>G2752=B2752</f>
        <v/>
      </c>
    </row>
    <row r="2721">
      <c r="B2721" s="11" t="n"/>
      <c r="C2721" s="8">
        <f>pinyin(B2753)</f>
        <v/>
      </c>
      <c r="E2721" s="8">
        <f>IFERROR(__xludf.DUMMYFUNCTION("GOOGLETRANSLATE(B2753, ""zh"", ""vi"")"),"#VALUE!")</f>
        <v/>
      </c>
      <c r="H2721" s="9">
        <f>G2753=B2753</f>
        <v/>
      </c>
    </row>
    <row r="2722">
      <c r="B2722" s="11" t="n"/>
      <c r="C2722" s="8">
        <f>pinyin(B2754)</f>
        <v/>
      </c>
      <c r="E2722" s="8">
        <f>IFERROR(__xludf.DUMMYFUNCTION("GOOGLETRANSLATE(B2754, ""zh"", ""vi"")"),"#VALUE!")</f>
        <v/>
      </c>
      <c r="H2722" s="9">
        <f>G2754=B2754</f>
        <v/>
      </c>
    </row>
    <row r="2723">
      <c r="B2723" s="11" t="n"/>
      <c r="C2723" s="8">
        <f>pinyin(B2755)</f>
        <v/>
      </c>
      <c r="E2723" s="8">
        <f>IFERROR(__xludf.DUMMYFUNCTION("GOOGLETRANSLATE(B2755, ""zh"", ""vi"")"),"#VALUE!")</f>
        <v/>
      </c>
      <c r="H2723" s="9">
        <f>G2755=B2755</f>
        <v/>
      </c>
    </row>
    <row r="2724">
      <c r="B2724" s="11" t="n"/>
      <c r="C2724" s="8">
        <f>pinyin(B2756)</f>
        <v/>
      </c>
      <c r="E2724" s="8">
        <f>IFERROR(__xludf.DUMMYFUNCTION("GOOGLETRANSLATE(B2756, ""zh"", ""vi"")"),"#VALUE!")</f>
        <v/>
      </c>
      <c r="H2724" s="9">
        <f>G2756=B2756</f>
        <v/>
      </c>
    </row>
    <row r="2725">
      <c r="B2725" s="11" t="n"/>
      <c r="C2725" s="8">
        <f>pinyin(B2757)</f>
        <v/>
      </c>
      <c r="E2725" s="8">
        <f>IFERROR(__xludf.DUMMYFUNCTION("GOOGLETRANSLATE(B2757, ""zh"", ""vi"")"),"#VALUE!")</f>
        <v/>
      </c>
      <c r="H2725" s="9">
        <f>G2757=B2757</f>
        <v/>
      </c>
    </row>
    <row r="2726">
      <c r="B2726" s="11" t="n"/>
      <c r="C2726" s="8">
        <f>pinyin(B2758)</f>
        <v/>
      </c>
      <c r="E2726" s="8">
        <f>IFERROR(__xludf.DUMMYFUNCTION("GOOGLETRANSLATE(B2758, ""zh"", ""vi"")"),"#VALUE!")</f>
        <v/>
      </c>
      <c r="H2726" s="9">
        <f>G2758=B2758</f>
        <v/>
      </c>
    </row>
    <row r="2727">
      <c r="B2727" s="11" t="n"/>
      <c r="C2727" s="8">
        <f>pinyin(B2759)</f>
        <v/>
      </c>
      <c r="E2727" s="8">
        <f>IFERROR(__xludf.DUMMYFUNCTION("GOOGLETRANSLATE(B2759, ""zh"", ""vi"")"),"#VALUE!")</f>
        <v/>
      </c>
      <c r="H2727" s="9">
        <f>G2759=B2759</f>
        <v/>
      </c>
    </row>
    <row r="2728">
      <c r="B2728" s="11" t="n"/>
      <c r="C2728" s="8">
        <f>pinyin(B2760)</f>
        <v/>
      </c>
      <c r="E2728" s="8">
        <f>IFERROR(__xludf.DUMMYFUNCTION("GOOGLETRANSLATE(B2760, ""zh"", ""vi"")"),"#VALUE!")</f>
        <v/>
      </c>
      <c r="H2728" s="9">
        <f>G2760=B2760</f>
        <v/>
      </c>
    </row>
    <row r="2729">
      <c r="B2729" s="11" t="n"/>
      <c r="C2729" s="8">
        <f>pinyin(B2761)</f>
        <v/>
      </c>
      <c r="E2729" s="8">
        <f>IFERROR(__xludf.DUMMYFUNCTION("GOOGLETRANSLATE(B2761, ""zh"", ""vi"")"),"#VALUE!")</f>
        <v/>
      </c>
      <c r="H2729" s="9">
        <f>G2761=B2761</f>
        <v/>
      </c>
    </row>
    <row r="2730">
      <c r="B2730" s="11" t="n"/>
      <c r="C2730" s="8">
        <f>pinyin(B2762)</f>
        <v/>
      </c>
      <c r="E2730" s="8">
        <f>IFERROR(__xludf.DUMMYFUNCTION("GOOGLETRANSLATE(B2762, ""zh"", ""vi"")"),"#VALUE!")</f>
        <v/>
      </c>
      <c r="H2730" s="9">
        <f>G2762=B2762</f>
        <v/>
      </c>
    </row>
    <row r="2731">
      <c r="B2731" s="11" t="n"/>
      <c r="C2731" s="8">
        <f>pinyin(B2763)</f>
        <v/>
      </c>
      <c r="E2731" s="8">
        <f>IFERROR(__xludf.DUMMYFUNCTION("GOOGLETRANSLATE(B2763, ""zh"", ""vi"")"),"#VALUE!")</f>
        <v/>
      </c>
      <c r="H2731" s="9">
        <f>G2763=B2763</f>
        <v/>
      </c>
    </row>
    <row r="2732">
      <c r="B2732" s="11" t="n"/>
      <c r="C2732" s="8">
        <f>pinyin(B2764)</f>
        <v/>
      </c>
      <c r="E2732" s="8">
        <f>IFERROR(__xludf.DUMMYFUNCTION("GOOGLETRANSLATE(B2764, ""zh"", ""vi"")"),"#VALUE!")</f>
        <v/>
      </c>
      <c r="H2732" s="9">
        <f>G2764=B2764</f>
        <v/>
      </c>
    </row>
    <row r="2733">
      <c r="B2733" s="11" t="n"/>
      <c r="C2733" s="8">
        <f>pinyin(B2765)</f>
        <v/>
      </c>
      <c r="E2733" s="8">
        <f>IFERROR(__xludf.DUMMYFUNCTION("GOOGLETRANSLATE(B2765, ""zh"", ""vi"")"),"#VALUE!")</f>
        <v/>
      </c>
      <c r="H2733" s="9">
        <f>G2765=B2765</f>
        <v/>
      </c>
    </row>
    <row r="2734">
      <c r="B2734" s="11" t="n"/>
      <c r="C2734" s="8">
        <f>pinyin(B2766)</f>
        <v/>
      </c>
      <c r="E2734" s="8">
        <f>IFERROR(__xludf.DUMMYFUNCTION("GOOGLETRANSLATE(B2766, ""zh"", ""vi"")"),"#VALUE!")</f>
        <v/>
      </c>
      <c r="H2734" s="9">
        <f>G2766=B2766</f>
        <v/>
      </c>
    </row>
    <row r="2735">
      <c r="B2735" s="11" t="n"/>
      <c r="C2735" s="8">
        <f>pinyin(B2767)</f>
        <v/>
      </c>
      <c r="E2735" s="8">
        <f>IFERROR(__xludf.DUMMYFUNCTION("GOOGLETRANSLATE(B2767, ""zh"", ""vi"")"),"#VALUE!")</f>
        <v/>
      </c>
      <c r="H2735" s="9">
        <f>G2767=B2767</f>
        <v/>
      </c>
    </row>
    <row r="2736">
      <c r="B2736" s="11" t="n"/>
      <c r="C2736" s="8">
        <f>pinyin(B2768)</f>
        <v/>
      </c>
      <c r="E2736" s="8">
        <f>IFERROR(__xludf.DUMMYFUNCTION("GOOGLETRANSLATE(B2768, ""zh"", ""vi"")"),"#VALUE!")</f>
        <v/>
      </c>
      <c r="H2736" s="9">
        <f>G2768=B2768</f>
        <v/>
      </c>
    </row>
    <row r="2737">
      <c r="B2737" s="11" t="n"/>
      <c r="C2737" s="8">
        <f>pinyin(B2769)</f>
        <v/>
      </c>
      <c r="E2737" s="8">
        <f>IFERROR(__xludf.DUMMYFUNCTION("GOOGLETRANSLATE(B2769, ""zh"", ""vi"")"),"#VALUE!")</f>
        <v/>
      </c>
      <c r="H2737" s="9">
        <f>G2769=B2769</f>
        <v/>
      </c>
    </row>
    <row r="2738">
      <c r="B2738" s="11" t="n"/>
      <c r="C2738" s="8">
        <f>pinyin(B2770)</f>
        <v/>
      </c>
      <c r="E2738" s="8">
        <f>IFERROR(__xludf.DUMMYFUNCTION("GOOGLETRANSLATE(B2770, ""zh"", ""vi"")"),"#VALUE!")</f>
        <v/>
      </c>
      <c r="H2738" s="9">
        <f>G2770=B2770</f>
        <v/>
      </c>
    </row>
    <row r="2739">
      <c r="B2739" s="11" t="n"/>
      <c r="C2739" s="8">
        <f>pinyin(B2771)</f>
        <v/>
      </c>
      <c r="E2739" s="8">
        <f>IFERROR(__xludf.DUMMYFUNCTION("GOOGLETRANSLATE(B2771, ""zh"", ""vi"")"),"#VALUE!")</f>
        <v/>
      </c>
      <c r="H2739" s="9">
        <f>G2771=B2771</f>
        <v/>
      </c>
    </row>
    <row r="2740">
      <c r="B2740" s="11" t="n"/>
      <c r="C2740" s="8">
        <f>pinyin(B2772)</f>
        <v/>
      </c>
      <c r="E2740" s="8">
        <f>IFERROR(__xludf.DUMMYFUNCTION("GOOGLETRANSLATE(B2772, ""zh"", ""vi"")"),"#VALUE!")</f>
        <v/>
      </c>
      <c r="H2740" s="9">
        <f>G2772=B2772</f>
        <v/>
      </c>
    </row>
    <row r="2741">
      <c r="B2741" s="11" t="n"/>
      <c r="C2741" s="8">
        <f>pinyin(B2773)</f>
        <v/>
      </c>
      <c r="E2741" s="8">
        <f>IFERROR(__xludf.DUMMYFUNCTION("GOOGLETRANSLATE(B2773, ""zh"", ""vi"")"),"#VALUE!")</f>
        <v/>
      </c>
      <c r="H2741" s="9">
        <f>G2773=B2773</f>
        <v/>
      </c>
    </row>
    <row r="2742">
      <c r="B2742" s="11" t="n"/>
      <c r="C2742" s="8">
        <f>pinyin(B2774)</f>
        <v/>
      </c>
      <c r="E2742" s="8">
        <f>IFERROR(__xludf.DUMMYFUNCTION("GOOGLETRANSLATE(B2774, ""zh"", ""vi"")"),"#VALUE!")</f>
        <v/>
      </c>
      <c r="H2742" s="9">
        <f>G2774=B2774</f>
        <v/>
      </c>
    </row>
    <row r="2743">
      <c r="B2743" s="11" t="n"/>
      <c r="C2743" s="8">
        <f>pinyin(B2775)</f>
        <v/>
      </c>
      <c r="E2743" s="8">
        <f>IFERROR(__xludf.DUMMYFUNCTION("GOOGLETRANSLATE(B2775, ""zh"", ""vi"")"),"#VALUE!")</f>
        <v/>
      </c>
      <c r="H2743" s="9">
        <f>G2775=B2775</f>
        <v/>
      </c>
    </row>
    <row r="2744">
      <c r="B2744" s="11" t="n"/>
      <c r="C2744" s="8">
        <f>pinyin(B2776)</f>
        <v/>
      </c>
      <c r="E2744" s="8">
        <f>IFERROR(__xludf.DUMMYFUNCTION("GOOGLETRANSLATE(B2776, ""zh"", ""vi"")"),"#VALUE!")</f>
        <v/>
      </c>
      <c r="H2744" s="9">
        <f>G2776=B2776</f>
        <v/>
      </c>
    </row>
    <row r="2745">
      <c r="B2745" s="11" t="n"/>
      <c r="C2745" s="8">
        <f>pinyin(B2777)</f>
        <v/>
      </c>
      <c r="E2745" s="8">
        <f>IFERROR(__xludf.DUMMYFUNCTION("GOOGLETRANSLATE(B2777, ""zh"", ""vi"")"),"#VALUE!")</f>
        <v/>
      </c>
      <c r="H2745" s="9">
        <f>G2777=B2777</f>
        <v/>
      </c>
    </row>
    <row r="2746">
      <c r="B2746" s="11" t="n"/>
      <c r="C2746" s="8">
        <f>pinyin(B2778)</f>
        <v/>
      </c>
      <c r="E2746" s="8">
        <f>IFERROR(__xludf.DUMMYFUNCTION("GOOGLETRANSLATE(B2778, ""zh"", ""vi"")"),"#VALUE!")</f>
        <v/>
      </c>
      <c r="H2746" s="9">
        <f>G2778=B2778</f>
        <v/>
      </c>
    </row>
    <row r="2747">
      <c r="B2747" s="11" t="n"/>
      <c r="C2747" s="8">
        <f>pinyin(B2779)</f>
        <v/>
      </c>
      <c r="E2747" s="8">
        <f>IFERROR(__xludf.DUMMYFUNCTION("GOOGLETRANSLATE(B2779, ""zh"", ""vi"")"),"#VALUE!")</f>
        <v/>
      </c>
      <c r="H2747" s="9">
        <f>G2779=B2779</f>
        <v/>
      </c>
    </row>
    <row r="2748">
      <c r="B2748" s="11" t="n"/>
      <c r="C2748" s="8">
        <f>pinyin(B2780)</f>
        <v/>
      </c>
      <c r="E2748" s="8">
        <f>IFERROR(__xludf.DUMMYFUNCTION("GOOGLETRANSLATE(B2780, ""zh"", ""vi"")"),"#VALUE!")</f>
        <v/>
      </c>
      <c r="H2748" s="9">
        <f>G2780=B2780</f>
        <v/>
      </c>
    </row>
    <row r="2749">
      <c r="B2749" s="11" t="n"/>
      <c r="C2749" s="8">
        <f>pinyin(B2781)</f>
        <v/>
      </c>
      <c r="E2749" s="8">
        <f>IFERROR(__xludf.DUMMYFUNCTION("GOOGLETRANSLATE(B2781, ""zh"", ""vi"")"),"#VALUE!")</f>
        <v/>
      </c>
      <c r="H2749" s="9">
        <f>G2781=B2781</f>
        <v/>
      </c>
    </row>
    <row r="2750">
      <c r="B2750" s="11" t="n"/>
      <c r="C2750" s="8">
        <f>pinyin(B2782)</f>
        <v/>
      </c>
      <c r="E2750" s="8">
        <f>IFERROR(__xludf.DUMMYFUNCTION("GOOGLETRANSLATE(B2782, ""zh"", ""vi"")"),"#VALUE!")</f>
        <v/>
      </c>
      <c r="H2750" s="9">
        <f>G2782=B2782</f>
        <v/>
      </c>
    </row>
    <row r="2751">
      <c r="B2751" s="11" t="n"/>
      <c r="C2751" s="8">
        <f>pinyin(B2783)</f>
        <v/>
      </c>
      <c r="E2751" s="8">
        <f>IFERROR(__xludf.DUMMYFUNCTION("GOOGLETRANSLATE(B2783, ""zh"", ""vi"")"),"#VALUE!")</f>
        <v/>
      </c>
      <c r="H2751" s="9">
        <f>G2783=B2783</f>
        <v/>
      </c>
    </row>
    <row r="2752">
      <c r="B2752" s="11" t="n"/>
      <c r="C2752" s="8">
        <f>pinyin(B2784)</f>
        <v/>
      </c>
      <c r="E2752" s="8">
        <f>IFERROR(__xludf.DUMMYFUNCTION("GOOGLETRANSLATE(B2784, ""zh"", ""vi"")"),"#VALUE!")</f>
        <v/>
      </c>
      <c r="H2752" s="9">
        <f>G2784=B2784</f>
        <v/>
      </c>
    </row>
    <row r="2753">
      <c r="B2753" s="11" t="n"/>
      <c r="C2753" s="8">
        <f>pinyin(B2785)</f>
        <v/>
      </c>
      <c r="E2753" s="8">
        <f>IFERROR(__xludf.DUMMYFUNCTION("GOOGLETRANSLATE(B2785, ""zh"", ""vi"")"),"#VALUE!")</f>
        <v/>
      </c>
      <c r="H2753" s="9">
        <f>G2785=B2785</f>
        <v/>
      </c>
    </row>
    <row r="2754">
      <c r="B2754" s="11" t="n"/>
      <c r="C2754" s="8">
        <f>pinyin(B2786)</f>
        <v/>
      </c>
      <c r="E2754" s="8">
        <f>IFERROR(__xludf.DUMMYFUNCTION("GOOGLETRANSLATE(B2786, ""zh"", ""vi"")"),"#VALUE!")</f>
        <v/>
      </c>
      <c r="H2754" s="9">
        <f>G2786=B2786</f>
        <v/>
      </c>
    </row>
    <row r="2755">
      <c r="B2755" s="11" t="n"/>
      <c r="C2755" s="8">
        <f>pinyin(B2787)</f>
        <v/>
      </c>
      <c r="E2755" s="8">
        <f>IFERROR(__xludf.DUMMYFUNCTION("GOOGLETRANSLATE(B2787, ""zh"", ""vi"")"),"#VALUE!")</f>
        <v/>
      </c>
      <c r="H2755" s="9">
        <f>G2787=B2787</f>
        <v/>
      </c>
    </row>
    <row r="2756">
      <c r="B2756" s="11" t="n"/>
      <c r="C2756" s="8">
        <f>pinyin(B2788)</f>
        <v/>
      </c>
      <c r="E2756" s="8">
        <f>IFERROR(__xludf.DUMMYFUNCTION("GOOGLETRANSLATE(B2788, ""zh"", ""vi"")"),"#VALUE!")</f>
        <v/>
      </c>
      <c r="H2756" s="9">
        <f>G2788=B2788</f>
        <v/>
      </c>
    </row>
    <row r="2757">
      <c r="B2757" s="11" t="n"/>
      <c r="C2757" s="8">
        <f>pinyin(B2789)</f>
        <v/>
      </c>
      <c r="E2757" s="8">
        <f>IFERROR(__xludf.DUMMYFUNCTION("GOOGLETRANSLATE(B2789, ""zh"", ""vi"")"),"#VALUE!")</f>
        <v/>
      </c>
      <c r="H2757" s="9">
        <f>G2789=B2789</f>
        <v/>
      </c>
    </row>
    <row r="2758">
      <c r="B2758" s="11" t="n"/>
      <c r="C2758" s="8">
        <f>pinyin(B2790)</f>
        <v/>
      </c>
      <c r="E2758" s="8">
        <f>IFERROR(__xludf.DUMMYFUNCTION("GOOGLETRANSLATE(B2790, ""zh"", ""vi"")"),"#VALUE!")</f>
        <v/>
      </c>
      <c r="H2758" s="9">
        <f>G2790=B2790</f>
        <v/>
      </c>
    </row>
    <row r="2759">
      <c r="B2759" s="11" t="n"/>
      <c r="C2759" s="8">
        <f>pinyin(B2791)</f>
        <v/>
      </c>
      <c r="E2759" s="8">
        <f>IFERROR(__xludf.DUMMYFUNCTION("GOOGLETRANSLATE(B2791, ""zh"", ""vi"")"),"#VALUE!")</f>
        <v/>
      </c>
      <c r="H2759" s="9">
        <f>G2791=B2791</f>
        <v/>
      </c>
    </row>
    <row r="2760">
      <c r="B2760" s="11" t="n"/>
      <c r="C2760" s="8">
        <f>pinyin(B2792)</f>
        <v/>
      </c>
      <c r="E2760" s="8">
        <f>IFERROR(__xludf.DUMMYFUNCTION("GOOGLETRANSLATE(B2792, ""zh"", ""vi"")"),"#VALUE!")</f>
        <v/>
      </c>
      <c r="H2760" s="9">
        <f>G2792=B2792</f>
        <v/>
      </c>
    </row>
    <row r="2761">
      <c r="B2761" s="11" t="n"/>
      <c r="C2761" s="8">
        <f>pinyin(B2793)</f>
        <v/>
      </c>
      <c r="E2761" s="8">
        <f>IFERROR(__xludf.DUMMYFUNCTION("GOOGLETRANSLATE(B2793, ""zh"", ""vi"")"),"#VALUE!")</f>
        <v/>
      </c>
      <c r="H2761" s="9">
        <f>G2793=B2793</f>
        <v/>
      </c>
    </row>
    <row r="2762">
      <c r="B2762" s="11" t="n"/>
      <c r="C2762" s="8">
        <f>pinyin(B2794)</f>
        <v/>
      </c>
      <c r="E2762" s="8">
        <f>IFERROR(__xludf.DUMMYFUNCTION("GOOGLETRANSLATE(B2794, ""zh"", ""vi"")"),"#VALUE!")</f>
        <v/>
      </c>
      <c r="H2762" s="9">
        <f>G2794=B2794</f>
        <v/>
      </c>
    </row>
    <row r="2763">
      <c r="B2763" s="11" t="n"/>
      <c r="C2763" s="8">
        <f>pinyin(B2795)</f>
        <v/>
      </c>
      <c r="E2763" s="8">
        <f>IFERROR(__xludf.DUMMYFUNCTION("GOOGLETRANSLATE(B2795, ""zh"", ""vi"")"),"#VALUE!")</f>
        <v/>
      </c>
      <c r="H2763" s="9">
        <f>G2795=B2795</f>
        <v/>
      </c>
    </row>
    <row r="2764">
      <c r="B2764" s="11" t="n"/>
      <c r="C2764" s="8">
        <f>pinyin(B2796)</f>
        <v/>
      </c>
      <c r="E2764" s="8">
        <f>IFERROR(__xludf.DUMMYFUNCTION("GOOGLETRANSLATE(B2796, ""zh"", ""vi"")"),"#VALUE!")</f>
        <v/>
      </c>
      <c r="H2764" s="9">
        <f>G2796=B2796</f>
        <v/>
      </c>
    </row>
    <row r="2765">
      <c r="B2765" s="11" t="n"/>
      <c r="C2765" s="8">
        <f>pinyin(B2797)</f>
        <v/>
      </c>
      <c r="E2765" s="8">
        <f>IFERROR(__xludf.DUMMYFUNCTION("GOOGLETRANSLATE(B2797, ""zh"", ""vi"")"),"#VALUE!")</f>
        <v/>
      </c>
      <c r="H2765" s="9">
        <f>G2797=B2797</f>
        <v/>
      </c>
    </row>
    <row r="2766">
      <c r="B2766" s="11" t="n"/>
      <c r="C2766" s="8">
        <f>pinyin(B2798)</f>
        <v/>
      </c>
      <c r="E2766" s="8">
        <f>IFERROR(__xludf.DUMMYFUNCTION("GOOGLETRANSLATE(B2798, ""zh"", ""vi"")"),"#VALUE!")</f>
        <v/>
      </c>
      <c r="H2766" s="9">
        <f>G2798=B2798</f>
        <v/>
      </c>
    </row>
    <row r="2767">
      <c r="B2767" s="11" t="n"/>
      <c r="C2767" s="8">
        <f>pinyin(B2799)</f>
        <v/>
      </c>
      <c r="E2767" s="8">
        <f>IFERROR(__xludf.DUMMYFUNCTION("GOOGLETRANSLATE(B2799, ""zh"", ""vi"")"),"#VALUE!")</f>
        <v/>
      </c>
      <c r="H2767" s="9">
        <f>G2799=B2799</f>
        <v/>
      </c>
    </row>
    <row r="2768">
      <c r="B2768" s="11" t="n"/>
      <c r="C2768" s="8">
        <f>pinyin(B2800)</f>
        <v/>
      </c>
      <c r="E2768" s="8">
        <f>IFERROR(__xludf.DUMMYFUNCTION("GOOGLETRANSLATE(B2800, ""zh"", ""vi"")"),"#VALUE!")</f>
        <v/>
      </c>
      <c r="H2768" s="9">
        <f>G2800=B2800</f>
        <v/>
      </c>
    </row>
    <row r="2769">
      <c r="B2769" s="11" t="n"/>
      <c r="C2769" s="8">
        <f>pinyin(B2801)</f>
        <v/>
      </c>
      <c r="E2769" s="8">
        <f>IFERROR(__xludf.DUMMYFUNCTION("GOOGLETRANSLATE(B2801, ""zh"", ""vi"")"),"#VALUE!")</f>
        <v/>
      </c>
      <c r="H2769" s="9">
        <f>G2801=B2801</f>
        <v/>
      </c>
    </row>
    <row r="2770">
      <c r="B2770" s="11" t="n"/>
      <c r="C2770" s="8">
        <f>pinyin(B2802)</f>
        <v/>
      </c>
      <c r="E2770" s="8">
        <f>IFERROR(__xludf.DUMMYFUNCTION("GOOGLETRANSLATE(B2802, ""zh"", ""vi"")"),"#VALUE!")</f>
        <v/>
      </c>
      <c r="H2770" s="9">
        <f>G2802=B2802</f>
        <v/>
      </c>
    </row>
    <row r="2771">
      <c r="B2771" s="11" t="n"/>
      <c r="C2771" s="8">
        <f>pinyin(B2803)</f>
        <v/>
      </c>
      <c r="E2771" s="8">
        <f>IFERROR(__xludf.DUMMYFUNCTION("GOOGLETRANSLATE(B2803, ""zh"", ""vi"")"),"#VALUE!")</f>
        <v/>
      </c>
      <c r="H2771" s="9">
        <f>G2803=B2803</f>
        <v/>
      </c>
    </row>
    <row r="2772">
      <c r="B2772" s="11" t="n"/>
      <c r="C2772" s="8">
        <f>pinyin(B2804)</f>
        <v/>
      </c>
      <c r="E2772" s="8">
        <f>IFERROR(__xludf.DUMMYFUNCTION("GOOGLETRANSLATE(B2804, ""zh"", ""vi"")"),"#VALUE!")</f>
        <v/>
      </c>
      <c r="H2772" s="9">
        <f>G2804=B2804</f>
        <v/>
      </c>
    </row>
    <row r="2773">
      <c r="B2773" s="11" t="n"/>
      <c r="C2773" s="8">
        <f>pinyin(B2805)</f>
        <v/>
      </c>
      <c r="E2773" s="8">
        <f>IFERROR(__xludf.DUMMYFUNCTION("GOOGLETRANSLATE(B2805, ""zh"", ""vi"")"),"#VALUE!")</f>
        <v/>
      </c>
      <c r="H2773" s="9">
        <f>G2805=B2805</f>
        <v/>
      </c>
    </row>
    <row r="2774">
      <c r="B2774" s="11" t="n"/>
      <c r="C2774" s="8">
        <f>pinyin(B2806)</f>
        <v/>
      </c>
      <c r="E2774" s="8">
        <f>IFERROR(__xludf.DUMMYFUNCTION("GOOGLETRANSLATE(B2806, ""zh"", ""vi"")"),"#VALUE!")</f>
        <v/>
      </c>
      <c r="H2774" s="9">
        <f>G2806=B2806</f>
        <v/>
      </c>
    </row>
    <row r="2775">
      <c r="B2775" s="11" t="n"/>
      <c r="C2775" s="8">
        <f>pinyin(B2807)</f>
        <v/>
      </c>
      <c r="E2775" s="8">
        <f>IFERROR(__xludf.DUMMYFUNCTION("GOOGLETRANSLATE(B2807, ""zh"", ""vi"")"),"#VALUE!")</f>
        <v/>
      </c>
      <c r="H2775" s="9">
        <f>G2807=B2807</f>
        <v/>
      </c>
    </row>
    <row r="2776">
      <c r="B2776" s="11" t="n"/>
      <c r="C2776" s="8">
        <f>pinyin(B2808)</f>
        <v/>
      </c>
      <c r="E2776" s="8">
        <f>IFERROR(__xludf.DUMMYFUNCTION("GOOGLETRANSLATE(B2808, ""zh"", ""vi"")"),"#VALUE!")</f>
        <v/>
      </c>
      <c r="H2776" s="9">
        <f>G2808=B2808</f>
        <v/>
      </c>
    </row>
    <row r="2777">
      <c r="B2777" s="11" t="n"/>
      <c r="C2777" s="8">
        <f>pinyin(B2809)</f>
        <v/>
      </c>
      <c r="E2777" s="8">
        <f>IFERROR(__xludf.DUMMYFUNCTION("GOOGLETRANSLATE(B2809, ""zh"", ""vi"")"),"#VALUE!")</f>
        <v/>
      </c>
      <c r="H2777" s="9">
        <f>G2809=B2809</f>
        <v/>
      </c>
    </row>
    <row r="2778">
      <c r="B2778" s="11" t="n"/>
      <c r="C2778" s="8">
        <f>pinyin(B2810)</f>
        <v/>
      </c>
      <c r="E2778" s="8">
        <f>IFERROR(__xludf.DUMMYFUNCTION("GOOGLETRANSLATE(B2810, ""zh"", ""vi"")"),"#VALUE!")</f>
        <v/>
      </c>
      <c r="H2778" s="9">
        <f>G2810=B2810</f>
        <v/>
      </c>
    </row>
    <row r="2779">
      <c r="B2779" s="11" t="n"/>
      <c r="C2779" s="8">
        <f>pinyin(B2811)</f>
        <v/>
      </c>
      <c r="E2779" s="8">
        <f>IFERROR(__xludf.DUMMYFUNCTION("GOOGLETRANSLATE(B2811, ""zh"", ""vi"")"),"#VALUE!")</f>
        <v/>
      </c>
      <c r="H2779" s="9">
        <f>G2811=B2811</f>
        <v/>
      </c>
    </row>
    <row r="2780">
      <c r="B2780" s="11" t="n"/>
      <c r="C2780" s="8">
        <f>pinyin(B2812)</f>
        <v/>
      </c>
      <c r="E2780" s="8">
        <f>IFERROR(__xludf.DUMMYFUNCTION("GOOGLETRANSLATE(B2812, ""zh"", ""vi"")"),"#VALUE!")</f>
        <v/>
      </c>
      <c r="H2780" s="9">
        <f>G2812=B2812</f>
        <v/>
      </c>
    </row>
    <row r="2781">
      <c r="B2781" s="11" t="n"/>
      <c r="C2781" s="8">
        <f>pinyin(B2813)</f>
        <v/>
      </c>
      <c r="E2781" s="8">
        <f>IFERROR(__xludf.DUMMYFUNCTION("GOOGLETRANSLATE(B2813, ""zh"", ""vi"")"),"#VALUE!")</f>
        <v/>
      </c>
      <c r="H2781" s="9">
        <f>G2813=B2813</f>
        <v/>
      </c>
    </row>
    <row r="2782">
      <c r="B2782" s="11" t="n"/>
      <c r="C2782" s="8">
        <f>pinyin(B2814)</f>
        <v/>
      </c>
      <c r="E2782" s="8">
        <f>IFERROR(__xludf.DUMMYFUNCTION("GOOGLETRANSLATE(B2814, ""zh"", ""vi"")"),"#VALUE!")</f>
        <v/>
      </c>
      <c r="H2782" s="9">
        <f>G2814=B2814</f>
        <v/>
      </c>
    </row>
    <row r="2783">
      <c r="B2783" s="11" t="n"/>
      <c r="C2783" s="8">
        <f>pinyin(B2815)</f>
        <v/>
      </c>
      <c r="E2783" s="8">
        <f>IFERROR(__xludf.DUMMYFUNCTION("GOOGLETRANSLATE(B2815, ""zh"", ""vi"")"),"#VALUE!")</f>
        <v/>
      </c>
      <c r="H2783" s="9">
        <f>G2815=B2815</f>
        <v/>
      </c>
    </row>
    <row r="2784">
      <c r="B2784" s="11" t="n"/>
      <c r="C2784" s="8">
        <f>pinyin(B2816)</f>
        <v/>
      </c>
      <c r="E2784" s="8">
        <f>IFERROR(__xludf.DUMMYFUNCTION("GOOGLETRANSLATE(B2816, ""zh"", ""vi"")"),"#VALUE!")</f>
        <v/>
      </c>
      <c r="H2784" s="9">
        <f>G2816=B2816</f>
        <v/>
      </c>
    </row>
    <row r="2785">
      <c r="B2785" s="11" t="n"/>
      <c r="C2785" s="8">
        <f>pinyin(B2817)</f>
        <v/>
      </c>
      <c r="E2785" s="8">
        <f>IFERROR(__xludf.DUMMYFUNCTION("GOOGLETRANSLATE(B2817, ""zh"", ""vi"")"),"#VALUE!")</f>
        <v/>
      </c>
      <c r="H2785" s="9">
        <f>G2817=B2817</f>
        <v/>
      </c>
    </row>
    <row r="2786">
      <c r="B2786" s="11" t="n"/>
      <c r="C2786" s="8">
        <f>pinyin(B2818)</f>
        <v/>
      </c>
      <c r="E2786" s="8">
        <f>IFERROR(__xludf.DUMMYFUNCTION("GOOGLETRANSLATE(B2818, ""zh"", ""vi"")"),"#VALUE!")</f>
        <v/>
      </c>
      <c r="H2786" s="9">
        <f>G2818=B2818</f>
        <v/>
      </c>
    </row>
    <row r="2787">
      <c r="B2787" s="11" t="n"/>
      <c r="C2787" s="8">
        <f>pinyin(B2819)</f>
        <v/>
      </c>
      <c r="E2787" s="8">
        <f>IFERROR(__xludf.DUMMYFUNCTION("GOOGLETRANSLATE(B2819, ""zh"", ""vi"")"),"#VALUE!")</f>
        <v/>
      </c>
      <c r="H2787" s="9">
        <f>G2819=B2819</f>
        <v/>
      </c>
    </row>
    <row r="2788">
      <c r="B2788" s="11" t="n"/>
      <c r="C2788" s="8">
        <f>pinyin(B2820)</f>
        <v/>
      </c>
      <c r="E2788" s="8">
        <f>IFERROR(__xludf.DUMMYFUNCTION("GOOGLETRANSLATE(B2820, ""zh"", ""vi"")"),"#VALUE!")</f>
        <v/>
      </c>
      <c r="H2788" s="9">
        <f>G2820=B2820</f>
        <v/>
      </c>
    </row>
    <row r="2789">
      <c r="B2789" s="11" t="n"/>
      <c r="C2789" s="8">
        <f>pinyin(B2821)</f>
        <v/>
      </c>
      <c r="E2789" s="8">
        <f>IFERROR(__xludf.DUMMYFUNCTION("GOOGLETRANSLATE(B2821, ""zh"", ""vi"")"),"#VALUE!")</f>
        <v/>
      </c>
      <c r="H2789" s="9">
        <f>G2821=B2821</f>
        <v/>
      </c>
    </row>
    <row r="2790">
      <c r="B2790" s="11" t="n"/>
      <c r="C2790" s="8">
        <f>pinyin(B2822)</f>
        <v/>
      </c>
      <c r="E2790" s="8">
        <f>IFERROR(__xludf.DUMMYFUNCTION("GOOGLETRANSLATE(B2822, ""zh"", ""vi"")"),"#VALUE!")</f>
        <v/>
      </c>
      <c r="H2790" s="9">
        <f>G2822=B2822</f>
        <v/>
      </c>
    </row>
    <row r="2791">
      <c r="B2791" s="11" t="n"/>
      <c r="C2791" s="8">
        <f>pinyin(B2823)</f>
        <v/>
      </c>
      <c r="E2791" s="8">
        <f>IFERROR(__xludf.DUMMYFUNCTION("GOOGLETRANSLATE(B2823, ""zh"", ""vi"")"),"#VALUE!")</f>
        <v/>
      </c>
      <c r="H2791" s="9">
        <f>G2823=B2823</f>
        <v/>
      </c>
    </row>
    <row r="2792">
      <c r="B2792" s="11" t="n"/>
      <c r="C2792" s="8">
        <f>pinyin(B2824)</f>
        <v/>
      </c>
      <c r="E2792" s="8">
        <f>IFERROR(__xludf.DUMMYFUNCTION("GOOGLETRANSLATE(B2824, ""zh"", ""vi"")"),"#VALUE!")</f>
        <v/>
      </c>
      <c r="H2792" s="9">
        <f>G2824=B2824</f>
        <v/>
      </c>
    </row>
    <row r="2793">
      <c r="B2793" s="11" t="n"/>
      <c r="C2793" s="8">
        <f>pinyin(B2825)</f>
        <v/>
      </c>
      <c r="E2793" s="8">
        <f>IFERROR(__xludf.DUMMYFUNCTION("GOOGLETRANSLATE(B2825, ""zh"", ""vi"")"),"#VALUE!")</f>
        <v/>
      </c>
      <c r="H2793" s="9">
        <f>G2825=B2825</f>
        <v/>
      </c>
    </row>
    <row r="2794">
      <c r="B2794" s="11" t="n"/>
      <c r="C2794" s="8">
        <f>pinyin(B2826)</f>
        <v/>
      </c>
      <c r="E2794" s="8">
        <f>IFERROR(__xludf.DUMMYFUNCTION("GOOGLETRANSLATE(B2826, ""zh"", ""vi"")"),"#VALUE!")</f>
        <v/>
      </c>
      <c r="H2794" s="9">
        <f>G2826=B2826</f>
        <v/>
      </c>
    </row>
    <row r="2795">
      <c r="B2795" s="11" t="n"/>
      <c r="C2795" s="8">
        <f>pinyin(B2827)</f>
        <v/>
      </c>
      <c r="E2795" s="8">
        <f>IFERROR(__xludf.DUMMYFUNCTION("GOOGLETRANSLATE(B2827, ""zh"", ""vi"")"),"#VALUE!")</f>
        <v/>
      </c>
      <c r="H2795" s="9">
        <f>G2827=B2827</f>
        <v/>
      </c>
    </row>
    <row r="2796">
      <c r="B2796" s="11" t="n"/>
      <c r="C2796" s="8">
        <f>pinyin(B2828)</f>
        <v/>
      </c>
      <c r="E2796" s="8">
        <f>IFERROR(__xludf.DUMMYFUNCTION("GOOGLETRANSLATE(B2828, ""zh"", ""vi"")"),"#VALUE!")</f>
        <v/>
      </c>
      <c r="H2796" s="9">
        <f>G2828=B2828</f>
        <v/>
      </c>
    </row>
    <row r="2797">
      <c r="B2797" s="11" t="n"/>
      <c r="C2797" s="8">
        <f>pinyin(B2829)</f>
        <v/>
      </c>
      <c r="E2797" s="8">
        <f>IFERROR(__xludf.DUMMYFUNCTION("GOOGLETRANSLATE(B2829, ""zh"", ""vi"")"),"#VALUE!")</f>
        <v/>
      </c>
      <c r="H2797" s="9">
        <f>G2829=B2829</f>
        <v/>
      </c>
    </row>
    <row r="2798">
      <c r="B2798" s="11" t="n"/>
      <c r="C2798" s="8">
        <f>pinyin(B2830)</f>
        <v/>
      </c>
      <c r="E2798" s="8">
        <f>IFERROR(__xludf.DUMMYFUNCTION("GOOGLETRANSLATE(B2830, ""zh"", ""vi"")"),"#VALUE!")</f>
        <v/>
      </c>
      <c r="H2798" s="9">
        <f>G2830=B2830</f>
        <v/>
      </c>
    </row>
    <row r="2799">
      <c r="B2799" s="11" t="n"/>
      <c r="C2799" s="8">
        <f>pinyin(B2831)</f>
        <v/>
      </c>
      <c r="E2799" s="8">
        <f>IFERROR(__xludf.DUMMYFUNCTION("GOOGLETRANSLATE(B2831, ""zh"", ""vi"")"),"#VALUE!")</f>
        <v/>
      </c>
      <c r="H2799" s="9">
        <f>G2831=B2831</f>
        <v/>
      </c>
    </row>
    <row r="2800">
      <c r="B2800" s="11" t="n"/>
      <c r="C2800" s="8">
        <f>pinyin(B2832)</f>
        <v/>
      </c>
      <c r="E2800" s="8">
        <f>IFERROR(__xludf.DUMMYFUNCTION("GOOGLETRANSLATE(B2832, ""zh"", ""vi"")"),"#VALUE!")</f>
        <v/>
      </c>
      <c r="H2800" s="9">
        <f>G2832=B2832</f>
        <v/>
      </c>
    </row>
    <row r="2801">
      <c r="B2801" s="11" t="n"/>
      <c r="C2801" s="8">
        <f>pinyin(B2833)</f>
        <v/>
      </c>
      <c r="E2801" s="8">
        <f>IFERROR(__xludf.DUMMYFUNCTION("GOOGLETRANSLATE(B2833, ""zh"", ""vi"")"),"#VALUE!")</f>
        <v/>
      </c>
      <c r="H2801" s="9">
        <f>G2833=B2833</f>
        <v/>
      </c>
    </row>
    <row r="2802">
      <c r="B2802" s="11" t="n"/>
      <c r="C2802" s="8">
        <f>pinyin(B2834)</f>
        <v/>
      </c>
      <c r="E2802" s="8">
        <f>IFERROR(__xludf.DUMMYFUNCTION("GOOGLETRANSLATE(B2834, ""zh"", ""vi"")"),"#VALUE!")</f>
        <v/>
      </c>
      <c r="H2802" s="9">
        <f>G2834=B2834</f>
        <v/>
      </c>
    </row>
    <row r="2803">
      <c r="B2803" s="11" t="n"/>
      <c r="C2803" s="8">
        <f>pinyin(B2835)</f>
        <v/>
      </c>
      <c r="E2803" s="8">
        <f>IFERROR(__xludf.DUMMYFUNCTION("GOOGLETRANSLATE(B2835, ""zh"", ""vi"")"),"#VALUE!")</f>
        <v/>
      </c>
      <c r="H2803" s="9">
        <f>G2835=B2835</f>
        <v/>
      </c>
    </row>
    <row r="2804">
      <c r="B2804" s="11" t="n"/>
      <c r="C2804" s="8">
        <f>pinyin(B2836)</f>
        <v/>
      </c>
      <c r="E2804" s="8">
        <f>IFERROR(__xludf.DUMMYFUNCTION("GOOGLETRANSLATE(B2836, ""zh"", ""vi"")"),"#VALUE!")</f>
        <v/>
      </c>
      <c r="H2804" s="9">
        <f>G2836=B2836</f>
        <v/>
      </c>
    </row>
    <row r="2805">
      <c r="B2805" s="11" t="n"/>
      <c r="C2805" s="8">
        <f>pinyin(B2837)</f>
        <v/>
      </c>
      <c r="E2805" s="8">
        <f>IFERROR(__xludf.DUMMYFUNCTION("GOOGLETRANSLATE(B2837, ""zh"", ""vi"")"),"#VALUE!")</f>
        <v/>
      </c>
      <c r="H2805" s="9">
        <f>G2837=B2837</f>
        <v/>
      </c>
    </row>
    <row r="2806">
      <c r="B2806" s="11" t="n"/>
      <c r="C2806" s="8">
        <f>pinyin(B2838)</f>
        <v/>
      </c>
      <c r="E2806" s="8">
        <f>IFERROR(__xludf.DUMMYFUNCTION("GOOGLETRANSLATE(B2838, ""zh"", ""vi"")"),"#VALUE!")</f>
        <v/>
      </c>
      <c r="H2806" s="9">
        <f>G2838=B2838</f>
        <v/>
      </c>
    </row>
    <row r="2807">
      <c r="B2807" s="11" t="n"/>
      <c r="C2807" s="8">
        <f>pinyin(B2839)</f>
        <v/>
      </c>
      <c r="E2807" s="8">
        <f>IFERROR(__xludf.DUMMYFUNCTION("GOOGLETRANSLATE(B2839, ""zh"", ""vi"")"),"#VALUE!")</f>
        <v/>
      </c>
      <c r="H2807" s="9">
        <f>G2839=B2839</f>
        <v/>
      </c>
    </row>
    <row r="2808">
      <c r="B2808" s="11" t="n"/>
      <c r="C2808" s="8">
        <f>pinyin(B2840)</f>
        <v/>
      </c>
      <c r="E2808" s="8">
        <f>IFERROR(__xludf.DUMMYFUNCTION("GOOGLETRANSLATE(B2840, ""zh"", ""vi"")"),"#VALUE!")</f>
        <v/>
      </c>
      <c r="H2808" s="9">
        <f>G2840=B2840</f>
        <v/>
      </c>
    </row>
    <row r="2809">
      <c r="B2809" s="11" t="n"/>
      <c r="C2809" s="8">
        <f>pinyin(B2841)</f>
        <v/>
      </c>
      <c r="E2809" s="8">
        <f>IFERROR(__xludf.DUMMYFUNCTION("GOOGLETRANSLATE(B2841, ""zh"", ""vi"")"),"#VALUE!")</f>
        <v/>
      </c>
      <c r="H2809" s="9">
        <f>G2841=B2841</f>
        <v/>
      </c>
    </row>
    <row r="2810">
      <c r="B2810" s="11" t="n"/>
      <c r="C2810" s="8">
        <f>pinyin(B2842)</f>
        <v/>
      </c>
      <c r="E2810" s="8">
        <f>IFERROR(__xludf.DUMMYFUNCTION("GOOGLETRANSLATE(B2842, ""zh"", ""vi"")"),"#VALUE!")</f>
        <v/>
      </c>
      <c r="H2810" s="9">
        <f>G2842=B2842</f>
        <v/>
      </c>
    </row>
    <row r="2811">
      <c r="B2811" s="11" t="n"/>
      <c r="C2811" s="8">
        <f>pinyin(B2843)</f>
        <v/>
      </c>
      <c r="E2811" s="8">
        <f>IFERROR(__xludf.DUMMYFUNCTION("GOOGLETRANSLATE(B2843, ""zh"", ""vi"")"),"#VALUE!")</f>
        <v/>
      </c>
      <c r="H2811" s="9">
        <f>G2843=B2843</f>
        <v/>
      </c>
    </row>
    <row r="2812">
      <c r="B2812" s="11" t="n"/>
      <c r="C2812" s="8">
        <f>pinyin(B2844)</f>
        <v/>
      </c>
      <c r="E2812" s="8">
        <f>IFERROR(__xludf.DUMMYFUNCTION("GOOGLETRANSLATE(B2844, ""zh"", ""vi"")"),"#VALUE!")</f>
        <v/>
      </c>
      <c r="H2812" s="9">
        <f>G2844=B2844</f>
        <v/>
      </c>
    </row>
    <row r="2813">
      <c r="B2813" s="11" t="n"/>
      <c r="C2813" s="8">
        <f>pinyin(B2845)</f>
        <v/>
      </c>
      <c r="E2813" s="8">
        <f>IFERROR(__xludf.DUMMYFUNCTION("GOOGLETRANSLATE(B2845, ""zh"", ""vi"")"),"#VALUE!")</f>
        <v/>
      </c>
      <c r="H2813" s="9">
        <f>G2845=B2845</f>
        <v/>
      </c>
    </row>
    <row r="2814">
      <c r="B2814" s="11" t="n"/>
      <c r="C2814" s="8">
        <f>pinyin(B2846)</f>
        <v/>
      </c>
      <c r="E2814" s="8">
        <f>IFERROR(__xludf.DUMMYFUNCTION("GOOGLETRANSLATE(B2846, ""zh"", ""vi"")"),"#VALUE!")</f>
        <v/>
      </c>
      <c r="H2814" s="9">
        <f>G2846=B2846</f>
        <v/>
      </c>
    </row>
    <row r="2815">
      <c r="B2815" s="11" t="n"/>
      <c r="C2815" s="8">
        <f>pinyin(B2847)</f>
        <v/>
      </c>
      <c r="E2815" s="8">
        <f>IFERROR(__xludf.DUMMYFUNCTION("GOOGLETRANSLATE(B2847, ""zh"", ""vi"")"),"#VALUE!")</f>
        <v/>
      </c>
      <c r="H2815" s="9">
        <f>G2847=B2847</f>
        <v/>
      </c>
    </row>
    <row r="2816">
      <c r="B2816" s="11" t="n"/>
      <c r="C2816" s="8">
        <f>pinyin(B2848)</f>
        <v/>
      </c>
      <c r="E2816" s="8">
        <f>IFERROR(__xludf.DUMMYFUNCTION("GOOGLETRANSLATE(B2848, ""zh"", ""vi"")"),"#VALUE!")</f>
        <v/>
      </c>
      <c r="H2816" s="9">
        <f>G2848=B2848</f>
        <v/>
      </c>
    </row>
    <row r="2817">
      <c r="B2817" s="11" t="n"/>
      <c r="C2817" s="8">
        <f>pinyin(B2849)</f>
        <v/>
      </c>
      <c r="E2817" s="8">
        <f>IFERROR(__xludf.DUMMYFUNCTION("GOOGLETRANSLATE(B2849, ""zh"", ""vi"")"),"#VALUE!")</f>
        <v/>
      </c>
      <c r="H2817" s="9">
        <f>G2849=B2849</f>
        <v/>
      </c>
    </row>
    <row r="2818">
      <c r="B2818" s="11" t="n"/>
      <c r="C2818" s="8">
        <f>pinyin(B2850)</f>
        <v/>
      </c>
      <c r="E2818" s="8">
        <f>IFERROR(__xludf.DUMMYFUNCTION("GOOGLETRANSLATE(B2850, ""zh"", ""vi"")"),"#VALUE!")</f>
        <v/>
      </c>
      <c r="H2818" s="9">
        <f>G2850=B2850</f>
        <v/>
      </c>
    </row>
    <row r="2819">
      <c r="B2819" s="11" t="n"/>
      <c r="C2819" s="8">
        <f>pinyin(B2851)</f>
        <v/>
      </c>
      <c r="E2819" s="8">
        <f>IFERROR(__xludf.DUMMYFUNCTION("GOOGLETRANSLATE(B2851, ""zh"", ""vi"")"),"#VALUE!")</f>
        <v/>
      </c>
      <c r="H2819" s="9">
        <f>G2851=B2851</f>
        <v/>
      </c>
    </row>
    <row r="2820">
      <c r="B2820" s="11" t="n"/>
      <c r="C2820" s="8">
        <f>pinyin(B2852)</f>
        <v/>
      </c>
      <c r="E2820" s="8">
        <f>IFERROR(__xludf.DUMMYFUNCTION("GOOGLETRANSLATE(B2852, ""zh"", ""vi"")"),"#VALUE!")</f>
        <v/>
      </c>
      <c r="H2820" s="9">
        <f>G2852=B2852</f>
        <v/>
      </c>
    </row>
    <row r="2821">
      <c r="B2821" s="11" t="n"/>
      <c r="C2821" s="8">
        <f>pinyin(B2853)</f>
        <v/>
      </c>
      <c r="E2821" s="8">
        <f>IFERROR(__xludf.DUMMYFUNCTION("GOOGLETRANSLATE(B2853, ""zh"", ""vi"")"),"#VALUE!")</f>
        <v/>
      </c>
      <c r="H2821" s="9">
        <f>G2853=B2853</f>
        <v/>
      </c>
    </row>
    <row r="2822">
      <c r="B2822" s="11" t="n"/>
      <c r="C2822" s="8">
        <f>pinyin(B2854)</f>
        <v/>
      </c>
      <c r="E2822" s="8">
        <f>IFERROR(__xludf.DUMMYFUNCTION("GOOGLETRANSLATE(B2854, ""zh"", ""vi"")"),"#VALUE!")</f>
        <v/>
      </c>
      <c r="H2822" s="9">
        <f>G2854=B2854</f>
        <v/>
      </c>
    </row>
    <row r="2823">
      <c r="B2823" s="11" t="n"/>
      <c r="C2823" s="8">
        <f>pinyin(B2855)</f>
        <v/>
      </c>
      <c r="E2823" s="8">
        <f>IFERROR(__xludf.DUMMYFUNCTION("GOOGLETRANSLATE(B2855, ""zh"", ""vi"")"),"#VALUE!")</f>
        <v/>
      </c>
      <c r="H2823" s="9">
        <f>G2855=B2855</f>
        <v/>
      </c>
    </row>
    <row r="2824">
      <c r="B2824" s="11" t="n"/>
      <c r="C2824" s="8">
        <f>pinyin(B2856)</f>
        <v/>
      </c>
      <c r="E2824" s="8">
        <f>IFERROR(__xludf.DUMMYFUNCTION("GOOGLETRANSLATE(B2856, ""zh"", ""vi"")"),"#VALUE!")</f>
        <v/>
      </c>
      <c r="H2824" s="9">
        <f>G2856=B2856</f>
        <v/>
      </c>
    </row>
    <row r="2825">
      <c r="B2825" s="11" t="n"/>
      <c r="C2825" s="8">
        <f>pinyin(B2857)</f>
        <v/>
      </c>
      <c r="E2825" s="8">
        <f>IFERROR(__xludf.DUMMYFUNCTION("GOOGLETRANSLATE(B2857, ""zh"", ""vi"")"),"#VALUE!")</f>
        <v/>
      </c>
      <c r="H2825" s="9">
        <f>G2857=B2857</f>
        <v/>
      </c>
    </row>
    <row r="2826">
      <c r="B2826" s="11" t="n"/>
      <c r="C2826" s="8">
        <f>pinyin(B2858)</f>
        <v/>
      </c>
      <c r="E2826" s="8">
        <f>IFERROR(__xludf.DUMMYFUNCTION("GOOGLETRANSLATE(B2858, ""zh"", ""vi"")"),"#VALUE!")</f>
        <v/>
      </c>
      <c r="H2826" s="9">
        <f>G2858=B2858</f>
        <v/>
      </c>
    </row>
    <row r="2827">
      <c r="B2827" s="11" t="n"/>
      <c r="C2827" s="8">
        <f>pinyin(B2859)</f>
        <v/>
      </c>
      <c r="E2827" s="8">
        <f>IFERROR(__xludf.DUMMYFUNCTION("GOOGLETRANSLATE(B2859, ""zh"", ""vi"")"),"#VALUE!")</f>
        <v/>
      </c>
      <c r="H2827" s="9">
        <f>G2859=B2859</f>
        <v/>
      </c>
    </row>
    <row r="2828">
      <c r="B2828" s="11" t="n"/>
      <c r="C2828" s="8">
        <f>pinyin(B2860)</f>
        <v/>
      </c>
      <c r="E2828" s="8">
        <f>IFERROR(__xludf.DUMMYFUNCTION("GOOGLETRANSLATE(B2860, ""zh"", ""vi"")"),"#VALUE!")</f>
        <v/>
      </c>
      <c r="H2828" s="9">
        <f>G2860=B2860</f>
        <v/>
      </c>
    </row>
    <row r="2829">
      <c r="B2829" s="11" t="n"/>
      <c r="C2829" s="8">
        <f>pinyin(B2861)</f>
        <v/>
      </c>
      <c r="E2829" s="8">
        <f>IFERROR(__xludf.DUMMYFUNCTION("GOOGLETRANSLATE(B2861, ""zh"", ""vi"")"),"#VALUE!")</f>
        <v/>
      </c>
      <c r="H2829" s="9">
        <f>G2861=B2861</f>
        <v/>
      </c>
    </row>
    <row r="2830">
      <c r="B2830" s="11" t="n"/>
      <c r="C2830" s="8">
        <f>pinyin(B2862)</f>
        <v/>
      </c>
      <c r="E2830" s="8">
        <f>IFERROR(__xludf.DUMMYFUNCTION("GOOGLETRANSLATE(B2862, ""zh"", ""vi"")"),"#VALUE!")</f>
        <v/>
      </c>
      <c r="H2830" s="9">
        <f>G2862=B2862</f>
        <v/>
      </c>
    </row>
    <row r="2831">
      <c r="B2831" s="11" t="n"/>
      <c r="C2831" s="8">
        <f>pinyin(B2863)</f>
        <v/>
      </c>
      <c r="E2831" s="8">
        <f>IFERROR(__xludf.DUMMYFUNCTION("GOOGLETRANSLATE(B2863, ""zh"", ""vi"")"),"#VALUE!")</f>
        <v/>
      </c>
      <c r="H2831" s="9">
        <f>G2863=B2863</f>
        <v/>
      </c>
    </row>
    <row r="2832">
      <c r="B2832" s="11" t="n"/>
      <c r="C2832" s="8">
        <f>pinyin(B2864)</f>
        <v/>
      </c>
      <c r="E2832" s="8">
        <f>IFERROR(__xludf.DUMMYFUNCTION("GOOGLETRANSLATE(B2864, ""zh"", ""vi"")"),"#VALUE!")</f>
        <v/>
      </c>
      <c r="H2832" s="9">
        <f>G2864=B2864</f>
        <v/>
      </c>
    </row>
    <row r="2833">
      <c r="B2833" s="11" t="n"/>
      <c r="C2833" s="8">
        <f>pinyin(B2865)</f>
        <v/>
      </c>
      <c r="E2833" s="8">
        <f>IFERROR(__xludf.DUMMYFUNCTION("GOOGLETRANSLATE(B2865, ""zh"", ""vi"")"),"#VALUE!")</f>
        <v/>
      </c>
      <c r="H2833" s="9">
        <f>G2865=B2865</f>
        <v/>
      </c>
    </row>
    <row r="2834">
      <c r="B2834" s="11" t="n"/>
      <c r="C2834" s="8">
        <f>pinyin(B2866)</f>
        <v/>
      </c>
      <c r="E2834" s="8">
        <f>IFERROR(__xludf.DUMMYFUNCTION("GOOGLETRANSLATE(B2866, ""zh"", ""vi"")"),"#VALUE!")</f>
        <v/>
      </c>
      <c r="H2834" s="9">
        <f>G2866=B2866</f>
        <v/>
      </c>
    </row>
    <row r="2835">
      <c r="B2835" s="11" t="n"/>
      <c r="C2835" s="8">
        <f>pinyin(B2867)</f>
        <v/>
      </c>
      <c r="E2835" s="8">
        <f>IFERROR(__xludf.DUMMYFUNCTION("GOOGLETRANSLATE(B2867, ""zh"", ""vi"")"),"#VALUE!")</f>
        <v/>
      </c>
      <c r="H2835" s="9">
        <f>G2867=B2867</f>
        <v/>
      </c>
    </row>
    <row r="2836">
      <c r="B2836" s="11" t="n"/>
      <c r="C2836" s="8">
        <f>pinyin(B2868)</f>
        <v/>
      </c>
      <c r="E2836" s="8">
        <f>IFERROR(__xludf.DUMMYFUNCTION("GOOGLETRANSLATE(B2868, ""zh"", ""vi"")"),"#VALUE!")</f>
        <v/>
      </c>
      <c r="H2836" s="9">
        <f>G2868=B2868</f>
        <v/>
      </c>
    </row>
    <row r="2837">
      <c r="B2837" s="11" t="n"/>
      <c r="C2837" s="8">
        <f>pinyin(B2869)</f>
        <v/>
      </c>
      <c r="E2837" s="8">
        <f>IFERROR(__xludf.DUMMYFUNCTION("GOOGLETRANSLATE(B2869, ""zh"", ""vi"")"),"#VALUE!")</f>
        <v/>
      </c>
      <c r="H2837" s="9">
        <f>G2869=B2869</f>
        <v/>
      </c>
    </row>
    <row r="2838">
      <c r="B2838" s="11" t="n"/>
      <c r="C2838" s="8">
        <f>pinyin(B2870)</f>
        <v/>
      </c>
      <c r="E2838" s="8">
        <f>IFERROR(__xludf.DUMMYFUNCTION("GOOGLETRANSLATE(B2870, ""zh"", ""vi"")"),"#VALUE!")</f>
        <v/>
      </c>
      <c r="H2838" s="9">
        <f>G2870=B2870</f>
        <v/>
      </c>
    </row>
    <row r="2839">
      <c r="B2839" s="11" t="n"/>
      <c r="C2839" s="8">
        <f>pinyin(B2871)</f>
        <v/>
      </c>
      <c r="E2839" s="8">
        <f>IFERROR(__xludf.DUMMYFUNCTION("GOOGLETRANSLATE(B2871, ""zh"", ""vi"")"),"#VALUE!")</f>
        <v/>
      </c>
      <c r="H2839" s="9">
        <f>G2871=B2871</f>
        <v/>
      </c>
    </row>
    <row r="2840">
      <c r="B2840" s="11" t="n"/>
      <c r="C2840" s="8">
        <f>pinyin(B2872)</f>
        <v/>
      </c>
      <c r="E2840" s="8">
        <f>IFERROR(__xludf.DUMMYFUNCTION("GOOGLETRANSLATE(B2872, ""zh"", ""vi"")"),"#VALUE!")</f>
        <v/>
      </c>
      <c r="H2840" s="9">
        <f>G2872=B2872</f>
        <v/>
      </c>
    </row>
    <row r="2841">
      <c r="B2841" s="11" t="n"/>
      <c r="C2841" s="8">
        <f>pinyin(B2873)</f>
        <v/>
      </c>
      <c r="E2841" s="8">
        <f>IFERROR(__xludf.DUMMYFUNCTION("GOOGLETRANSLATE(B2873, ""zh"", ""vi"")"),"#VALUE!")</f>
        <v/>
      </c>
      <c r="H2841" s="9">
        <f>G2873=B2873</f>
        <v/>
      </c>
    </row>
    <row r="2842">
      <c r="B2842" s="11" t="n"/>
      <c r="C2842" s="8">
        <f>pinyin(B2874)</f>
        <v/>
      </c>
      <c r="E2842" s="8">
        <f>IFERROR(__xludf.DUMMYFUNCTION("GOOGLETRANSLATE(B2874, ""zh"", ""vi"")"),"#VALUE!")</f>
        <v/>
      </c>
      <c r="H2842" s="9">
        <f>G2874=B2874</f>
        <v/>
      </c>
    </row>
    <row r="2843">
      <c r="B2843" s="11" t="n"/>
      <c r="C2843" s="8">
        <f>pinyin(B2875)</f>
        <v/>
      </c>
      <c r="E2843" s="8">
        <f>IFERROR(__xludf.DUMMYFUNCTION("GOOGLETRANSLATE(B2875, ""zh"", ""vi"")"),"#VALUE!")</f>
        <v/>
      </c>
      <c r="H2843" s="9">
        <f>G2875=B2875</f>
        <v/>
      </c>
    </row>
    <row r="2844">
      <c r="B2844" s="11" t="n"/>
      <c r="C2844" s="8">
        <f>pinyin(B2876)</f>
        <v/>
      </c>
      <c r="E2844" s="8">
        <f>IFERROR(__xludf.DUMMYFUNCTION("GOOGLETRANSLATE(B2876, ""zh"", ""vi"")"),"#VALUE!")</f>
        <v/>
      </c>
      <c r="H2844" s="9">
        <f>G2876=B2876</f>
        <v/>
      </c>
    </row>
    <row r="2845">
      <c r="B2845" s="11" t="n"/>
      <c r="C2845" s="8">
        <f>pinyin(B2877)</f>
        <v/>
      </c>
      <c r="E2845" s="8">
        <f>IFERROR(__xludf.DUMMYFUNCTION("GOOGLETRANSLATE(B2877, ""zh"", ""vi"")"),"#VALUE!")</f>
        <v/>
      </c>
      <c r="H2845" s="9">
        <f>G2877=B2877</f>
        <v/>
      </c>
    </row>
    <row r="2846">
      <c r="B2846" s="11" t="n"/>
      <c r="C2846" s="8">
        <f>pinyin(B2878)</f>
        <v/>
      </c>
      <c r="E2846" s="8">
        <f>IFERROR(__xludf.DUMMYFUNCTION("GOOGLETRANSLATE(B2878, ""zh"", ""vi"")"),"#VALUE!")</f>
        <v/>
      </c>
      <c r="H2846" s="9">
        <f>G2878=B2878</f>
        <v/>
      </c>
    </row>
    <row r="2847">
      <c r="B2847" s="11" t="n"/>
      <c r="C2847" s="8">
        <f>pinyin(B2879)</f>
        <v/>
      </c>
      <c r="E2847" s="8">
        <f>IFERROR(__xludf.DUMMYFUNCTION("GOOGLETRANSLATE(B2879, ""zh"", ""vi"")"),"#VALUE!")</f>
        <v/>
      </c>
      <c r="H2847" s="9">
        <f>G2879=B2879</f>
        <v/>
      </c>
    </row>
    <row r="2848">
      <c r="B2848" s="11" t="n"/>
      <c r="C2848" s="8">
        <f>pinyin(B2880)</f>
        <v/>
      </c>
      <c r="E2848" s="8">
        <f>IFERROR(__xludf.DUMMYFUNCTION("GOOGLETRANSLATE(B2880, ""zh"", ""vi"")"),"#VALUE!")</f>
        <v/>
      </c>
      <c r="H2848" s="9">
        <f>G2880=B2880</f>
        <v/>
      </c>
    </row>
    <row r="2849">
      <c r="B2849" s="11" t="n"/>
      <c r="C2849" s="8">
        <f>pinyin(B2881)</f>
        <v/>
      </c>
      <c r="E2849" s="8">
        <f>IFERROR(__xludf.DUMMYFUNCTION("GOOGLETRANSLATE(B2881, ""zh"", ""vi"")"),"#VALUE!")</f>
        <v/>
      </c>
      <c r="H2849" s="9">
        <f>G2881=B2881</f>
        <v/>
      </c>
    </row>
    <row r="2850">
      <c r="B2850" s="11" t="n"/>
      <c r="C2850" s="8">
        <f>pinyin(B2882)</f>
        <v/>
      </c>
      <c r="E2850" s="8">
        <f>IFERROR(__xludf.DUMMYFUNCTION("GOOGLETRANSLATE(B2882, ""zh"", ""vi"")"),"#VALUE!")</f>
        <v/>
      </c>
      <c r="H2850" s="9">
        <f>G2882=B2882</f>
        <v/>
      </c>
    </row>
    <row r="2851">
      <c r="B2851" s="11" t="n"/>
      <c r="C2851" s="8">
        <f>pinyin(B2883)</f>
        <v/>
      </c>
      <c r="E2851" s="8">
        <f>IFERROR(__xludf.DUMMYFUNCTION("GOOGLETRANSLATE(B2883, ""zh"", ""vi"")"),"#VALUE!")</f>
        <v/>
      </c>
      <c r="H2851" s="9">
        <f>G2883=B2883</f>
        <v/>
      </c>
    </row>
    <row r="2852">
      <c r="B2852" s="11" t="n"/>
      <c r="C2852" s="8">
        <f>pinyin(B2884)</f>
        <v/>
      </c>
      <c r="E2852" s="8">
        <f>IFERROR(__xludf.DUMMYFUNCTION("GOOGLETRANSLATE(B2884, ""zh"", ""vi"")"),"#VALUE!")</f>
        <v/>
      </c>
      <c r="H2852" s="9">
        <f>G2884=B2884</f>
        <v/>
      </c>
    </row>
    <row r="2853">
      <c r="B2853" s="11" t="n"/>
      <c r="C2853" s="8">
        <f>pinyin(B2885)</f>
        <v/>
      </c>
      <c r="E2853" s="8">
        <f>IFERROR(__xludf.DUMMYFUNCTION("GOOGLETRANSLATE(B2885, ""zh"", ""vi"")"),"#VALUE!")</f>
        <v/>
      </c>
      <c r="H2853" s="9">
        <f>G2885=B2885</f>
        <v/>
      </c>
    </row>
    <row r="2854">
      <c r="B2854" s="11" t="n"/>
      <c r="C2854" s="8">
        <f>pinyin(B2886)</f>
        <v/>
      </c>
      <c r="E2854" s="8">
        <f>IFERROR(__xludf.DUMMYFUNCTION("GOOGLETRANSLATE(B2886, ""zh"", ""vi"")"),"#VALUE!")</f>
        <v/>
      </c>
      <c r="H2854" s="9">
        <f>G2886=B2886</f>
        <v/>
      </c>
    </row>
    <row r="2855">
      <c r="B2855" s="11" t="n"/>
      <c r="C2855" s="8">
        <f>pinyin(B2887)</f>
        <v/>
      </c>
      <c r="E2855" s="8">
        <f>IFERROR(__xludf.DUMMYFUNCTION("GOOGLETRANSLATE(B2887, ""zh"", ""vi"")"),"#VALUE!")</f>
        <v/>
      </c>
      <c r="H2855" s="9">
        <f>G2887=B2887</f>
        <v/>
      </c>
    </row>
    <row r="2856">
      <c r="B2856" s="11" t="n"/>
      <c r="C2856" s="8">
        <f>pinyin(B2888)</f>
        <v/>
      </c>
      <c r="E2856" s="8">
        <f>IFERROR(__xludf.DUMMYFUNCTION("GOOGLETRANSLATE(B2888, ""zh"", ""vi"")"),"#VALUE!")</f>
        <v/>
      </c>
      <c r="H2856" s="9">
        <f>G2888=B2888</f>
        <v/>
      </c>
    </row>
    <row r="2857">
      <c r="B2857" s="11" t="n"/>
      <c r="C2857" s="8">
        <f>pinyin(B2889)</f>
        <v/>
      </c>
      <c r="E2857" s="8">
        <f>IFERROR(__xludf.DUMMYFUNCTION("GOOGLETRANSLATE(B2889, ""zh"", ""vi"")"),"#VALUE!")</f>
        <v/>
      </c>
      <c r="H2857" s="9">
        <f>G2889=B2889</f>
        <v/>
      </c>
    </row>
    <row r="2858">
      <c r="B2858" s="11" t="n"/>
      <c r="C2858" s="8">
        <f>pinyin(B2890)</f>
        <v/>
      </c>
      <c r="E2858" s="8">
        <f>IFERROR(__xludf.DUMMYFUNCTION("GOOGLETRANSLATE(B2890, ""zh"", ""vi"")"),"#VALUE!")</f>
        <v/>
      </c>
      <c r="H2858" s="9">
        <f>G2890=B2890</f>
        <v/>
      </c>
    </row>
    <row r="2859">
      <c r="B2859" s="11" t="n"/>
      <c r="C2859" s="8">
        <f>pinyin(B2891)</f>
        <v/>
      </c>
      <c r="E2859" s="8">
        <f>IFERROR(__xludf.DUMMYFUNCTION("GOOGLETRANSLATE(B2891, ""zh"", ""vi"")"),"#VALUE!")</f>
        <v/>
      </c>
      <c r="H2859" s="9">
        <f>G2891=B2891</f>
        <v/>
      </c>
    </row>
    <row r="2860">
      <c r="B2860" s="11" t="n"/>
      <c r="C2860" s="8">
        <f>pinyin(B2892)</f>
        <v/>
      </c>
      <c r="E2860" s="8">
        <f>IFERROR(__xludf.DUMMYFUNCTION("GOOGLETRANSLATE(B2892, ""zh"", ""vi"")"),"#VALUE!")</f>
        <v/>
      </c>
      <c r="H2860" s="9">
        <f>G2892=B2892</f>
        <v/>
      </c>
    </row>
    <row r="2861">
      <c r="B2861" s="11" t="n"/>
      <c r="C2861" s="8">
        <f>pinyin(B2893)</f>
        <v/>
      </c>
      <c r="E2861" s="8">
        <f>IFERROR(__xludf.DUMMYFUNCTION("GOOGLETRANSLATE(B2893, ""zh"", ""vi"")"),"#VALUE!")</f>
        <v/>
      </c>
      <c r="H2861" s="9">
        <f>G2893=B2893</f>
        <v/>
      </c>
    </row>
    <row r="2862">
      <c r="B2862" s="11" t="n"/>
      <c r="C2862" s="8">
        <f>pinyin(B2894)</f>
        <v/>
      </c>
      <c r="E2862" s="8">
        <f>IFERROR(__xludf.DUMMYFUNCTION("GOOGLETRANSLATE(B2894, ""zh"", ""vi"")"),"#VALUE!")</f>
        <v/>
      </c>
      <c r="H2862" s="9">
        <f>G2894=B2894</f>
        <v/>
      </c>
    </row>
    <row r="2863">
      <c r="B2863" s="11" t="n"/>
      <c r="C2863" s="8">
        <f>pinyin(B2895)</f>
        <v/>
      </c>
      <c r="E2863" s="8">
        <f>IFERROR(__xludf.DUMMYFUNCTION("GOOGLETRANSLATE(B2895, ""zh"", ""vi"")"),"#VALUE!")</f>
        <v/>
      </c>
      <c r="H2863" s="9">
        <f>G2895=B2895</f>
        <v/>
      </c>
    </row>
    <row r="2864">
      <c r="B2864" s="11" t="n"/>
      <c r="C2864" s="8">
        <f>pinyin(B2896)</f>
        <v/>
      </c>
      <c r="E2864" s="8">
        <f>IFERROR(__xludf.DUMMYFUNCTION("GOOGLETRANSLATE(B2896, ""zh"", ""vi"")"),"#VALUE!")</f>
        <v/>
      </c>
      <c r="H2864" s="9">
        <f>G2896=B2896</f>
        <v/>
      </c>
    </row>
    <row r="2865">
      <c r="B2865" s="11" t="n"/>
      <c r="C2865" s="8">
        <f>pinyin(B2897)</f>
        <v/>
      </c>
      <c r="E2865" s="8">
        <f>IFERROR(__xludf.DUMMYFUNCTION("GOOGLETRANSLATE(B2897, ""zh"", ""vi"")"),"#VALUE!")</f>
        <v/>
      </c>
      <c r="H2865" s="9">
        <f>G2897=B2897</f>
        <v/>
      </c>
    </row>
    <row r="2866">
      <c r="B2866" s="11" t="n"/>
      <c r="C2866" s="8">
        <f>pinyin(B2898)</f>
        <v/>
      </c>
      <c r="E2866" s="8">
        <f>IFERROR(__xludf.DUMMYFUNCTION("GOOGLETRANSLATE(B2898, ""zh"", ""vi"")"),"#VALUE!")</f>
        <v/>
      </c>
      <c r="H2866" s="9">
        <f>G2898=B2898</f>
        <v/>
      </c>
    </row>
    <row r="2867">
      <c r="B2867" s="11" t="n"/>
      <c r="C2867" s="8">
        <f>pinyin(B2899)</f>
        <v/>
      </c>
      <c r="E2867" s="8">
        <f>IFERROR(__xludf.DUMMYFUNCTION("GOOGLETRANSLATE(B2899, ""zh"", ""vi"")"),"#VALUE!")</f>
        <v/>
      </c>
      <c r="H2867" s="9">
        <f>G2899=B2899</f>
        <v/>
      </c>
    </row>
    <row r="2868">
      <c r="B2868" s="11" t="n"/>
      <c r="C2868" s="8">
        <f>pinyin(B2900)</f>
        <v/>
      </c>
      <c r="E2868" s="8">
        <f>IFERROR(__xludf.DUMMYFUNCTION("GOOGLETRANSLATE(B2900, ""zh"", ""vi"")"),"#VALUE!")</f>
        <v/>
      </c>
      <c r="H2868" s="9">
        <f>G2900=B2900</f>
        <v/>
      </c>
    </row>
    <row r="2869">
      <c r="B2869" s="11" t="n"/>
      <c r="C2869" s="8">
        <f>pinyin(B2901)</f>
        <v/>
      </c>
      <c r="E2869" s="8">
        <f>IFERROR(__xludf.DUMMYFUNCTION("GOOGLETRANSLATE(B2901, ""zh"", ""vi"")"),"#VALUE!")</f>
        <v/>
      </c>
      <c r="H2869" s="9">
        <f>G2901=B2901</f>
        <v/>
      </c>
    </row>
    <row r="2870">
      <c r="B2870" s="11" t="n"/>
      <c r="C2870" s="8">
        <f>pinyin(B2902)</f>
        <v/>
      </c>
      <c r="E2870" s="8">
        <f>IFERROR(__xludf.DUMMYFUNCTION("GOOGLETRANSLATE(B2902, ""zh"", ""vi"")"),"#VALUE!")</f>
        <v/>
      </c>
      <c r="H2870" s="9">
        <f>G2902=B2902</f>
        <v/>
      </c>
    </row>
    <row r="2871">
      <c r="B2871" s="11" t="n"/>
      <c r="C2871" s="8">
        <f>pinyin(B2903)</f>
        <v/>
      </c>
      <c r="E2871" s="8">
        <f>IFERROR(__xludf.DUMMYFUNCTION("GOOGLETRANSLATE(B2903, ""zh"", ""vi"")"),"#VALUE!")</f>
        <v/>
      </c>
      <c r="H2871" s="9">
        <f>G2903=B2903</f>
        <v/>
      </c>
    </row>
    <row r="2872">
      <c r="B2872" s="11" t="n"/>
      <c r="C2872" s="8">
        <f>pinyin(B2904)</f>
        <v/>
      </c>
      <c r="E2872" s="8">
        <f>IFERROR(__xludf.DUMMYFUNCTION("GOOGLETRANSLATE(B2904, ""zh"", ""vi"")"),"#VALUE!")</f>
        <v/>
      </c>
      <c r="H2872" s="9">
        <f>G2904=B2904</f>
        <v/>
      </c>
    </row>
    <row r="2873">
      <c r="B2873" s="11" t="n"/>
      <c r="C2873" s="8">
        <f>pinyin(B2905)</f>
        <v/>
      </c>
      <c r="E2873" s="8">
        <f>IFERROR(__xludf.DUMMYFUNCTION("GOOGLETRANSLATE(B2905, ""zh"", ""vi"")"),"#VALUE!")</f>
        <v/>
      </c>
      <c r="H2873" s="9">
        <f>G2905=B2905</f>
        <v/>
      </c>
    </row>
    <row r="2874">
      <c r="B2874" s="11" t="n"/>
      <c r="C2874" s="8">
        <f>pinyin(B2906)</f>
        <v/>
      </c>
      <c r="E2874" s="8">
        <f>IFERROR(__xludf.DUMMYFUNCTION("GOOGLETRANSLATE(B2906, ""zh"", ""vi"")"),"#VALUE!")</f>
        <v/>
      </c>
      <c r="H2874" s="9">
        <f>G2906=B2906</f>
        <v/>
      </c>
    </row>
    <row r="2875">
      <c r="B2875" s="11" t="n"/>
      <c r="C2875" s="8">
        <f>pinyin(B2907)</f>
        <v/>
      </c>
      <c r="E2875" s="8">
        <f>IFERROR(__xludf.DUMMYFUNCTION("GOOGLETRANSLATE(B2907, ""zh"", ""vi"")"),"#VALUE!")</f>
        <v/>
      </c>
      <c r="H2875" s="9">
        <f>G2907=B2907</f>
        <v/>
      </c>
    </row>
    <row r="2876">
      <c r="B2876" s="11" t="n"/>
      <c r="C2876" s="8">
        <f>pinyin(B2908)</f>
        <v/>
      </c>
      <c r="E2876" s="8">
        <f>IFERROR(__xludf.DUMMYFUNCTION("GOOGLETRANSLATE(B2908, ""zh"", ""vi"")"),"#VALUE!")</f>
        <v/>
      </c>
      <c r="H2876" s="9">
        <f>G2908=B2908</f>
        <v/>
      </c>
    </row>
    <row r="2877">
      <c r="B2877" s="11" t="n"/>
      <c r="C2877" s="8">
        <f>pinyin(B2909)</f>
        <v/>
      </c>
      <c r="E2877" s="8">
        <f>IFERROR(__xludf.DUMMYFUNCTION("GOOGLETRANSLATE(B2909, ""zh"", ""vi"")"),"#VALUE!")</f>
        <v/>
      </c>
      <c r="H2877" s="9">
        <f>G2909=B2909</f>
        <v/>
      </c>
    </row>
    <row r="2878">
      <c r="B2878" s="11" t="n"/>
      <c r="C2878" s="8">
        <f>pinyin(B2910)</f>
        <v/>
      </c>
      <c r="E2878" s="8">
        <f>IFERROR(__xludf.DUMMYFUNCTION("GOOGLETRANSLATE(B2910, ""zh"", ""vi"")"),"#VALUE!")</f>
        <v/>
      </c>
      <c r="H2878" s="9">
        <f>G2910=B2910</f>
        <v/>
      </c>
    </row>
    <row r="2879">
      <c r="B2879" s="11" t="n"/>
      <c r="C2879" s="8">
        <f>pinyin(B2911)</f>
        <v/>
      </c>
      <c r="E2879" s="8">
        <f>IFERROR(__xludf.DUMMYFUNCTION("GOOGLETRANSLATE(B2911, ""zh"", ""vi"")"),"#VALUE!")</f>
        <v/>
      </c>
      <c r="H2879" s="9">
        <f>G2911=B2911</f>
        <v/>
      </c>
    </row>
    <row r="2880">
      <c r="B2880" s="11" t="n"/>
      <c r="C2880" s="8">
        <f>pinyin(B2912)</f>
        <v/>
      </c>
      <c r="E2880" s="8">
        <f>IFERROR(__xludf.DUMMYFUNCTION("GOOGLETRANSLATE(B2912, ""zh"", ""vi"")"),"#VALUE!")</f>
        <v/>
      </c>
      <c r="H2880" s="9">
        <f>G2912=B2912</f>
        <v/>
      </c>
    </row>
    <row r="2881">
      <c r="B2881" s="11" t="n"/>
      <c r="C2881" s="8">
        <f>pinyin(B2913)</f>
        <v/>
      </c>
      <c r="E2881" s="8">
        <f>IFERROR(__xludf.DUMMYFUNCTION("GOOGLETRANSLATE(B2913, ""zh"", ""vi"")"),"#VALUE!")</f>
        <v/>
      </c>
      <c r="H2881" s="9">
        <f>G2913=B2913</f>
        <v/>
      </c>
    </row>
    <row r="2882">
      <c r="B2882" s="11" t="n"/>
      <c r="C2882" s="8">
        <f>pinyin(B2914)</f>
        <v/>
      </c>
      <c r="E2882" s="8">
        <f>IFERROR(__xludf.DUMMYFUNCTION("GOOGLETRANSLATE(B2914, ""zh"", ""vi"")"),"#VALUE!")</f>
        <v/>
      </c>
      <c r="H2882" s="9">
        <f>G2914=B2914</f>
        <v/>
      </c>
    </row>
    <row r="2883">
      <c r="B2883" s="11" t="n"/>
      <c r="C2883" s="8">
        <f>pinyin(B2915)</f>
        <v/>
      </c>
      <c r="E2883" s="8">
        <f>IFERROR(__xludf.DUMMYFUNCTION("GOOGLETRANSLATE(B2915, ""zh"", ""vi"")"),"#VALUE!")</f>
        <v/>
      </c>
      <c r="H2883" s="9">
        <f>G2915=B2915</f>
        <v/>
      </c>
    </row>
    <row r="2884">
      <c r="B2884" s="11" t="n"/>
      <c r="C2884" s="8">
        <f>pinyin(B2916)</f>
        <v/>
      </c>
      <c r="E2884" s="8">
        <f>IFERROR(__xludf.DUMMYFUNCTION("GOOGLETRANSLATE(B2916, ""zh"", ""vi"")"),"#VALUE!")</f>
        <v/>
      </c>
      <c r="H2884" s="9">
        <f>G2916=B2916</f>
        <v/>
      </c>
    </row>
    <row r="2885">
      <c r="B2885" s="11" t="n"/>
      <c r="C2885" s="8">
        <f>pinyin(B2917)</f>
        <v/>
      </c>
      <c r="E2885" s="8">
        <f>IFERROR(__xludf.DUMMYFUNCTION("GOOGLETRANSLATE(B2917, ""zh"", ""vi"")"),"#VALUE!")</f>
        <v/>
      </c>
      <c r="H2885" s="9">
        <f>G2917=B2917</f>
        <v/>
      </c>
    </row>
    <row r="2886">
      <c r="B2886" s="11" t="n"/>
      <c r="C2886" s="8">
        <f>pinyin(B2918)</f>
        <v/>
      </c>
      <c r="E2886" s="8">
        <f>IFERROR(__xludf.DUMMYFUNCTION("GOOGLETRANSLATE(B2918, ""zh"", ""vi"")"),"#VALUE!")</f>
        <v/>
      </c>
      <c r="H2886" s="9">
        <f>G2918=B2918</f>
        <v/>
      </c>
    </row>
    <row r="2887">
      <c r="B2887" s="11" t="n"/>
      <c r="C2887" s="8">
        <f>pinyin(B2919)</f>
        <v/>
      </c>
      <c r="E2887" s="8">
        <f>IFERROR(__xludf.DUMMYFUNCTION("GOOGLETRANSLATE(B2919, ""zh"", ""vi"")"),"#VALUE!")</f>
        <v/>
      </c>
      <c r="H2887" s="9">
        <f>G2919=B2919</f>
        <v/>
      </c>
    </row>
    <row r="2888">
      <c r="B2888" s="11" t="n"/>
      <c r="C2888" s="8">
        <f>pinyin(B2920)</f>
        <v/>
      </c>
      <c r="E2888" s="8">
        <f>IFERROR(__xludf.DUMMYFUNCTION("GOOGLETRANSLATE(B2920, ""zh"", ""vi"")"),"#VALUE!")</f>
        <v/>
      </c>
      <c r="H2888" s="9">
        <f>G2920=B2920</f>
        <v/>
      </c>
    </row>
    <row r="2889">
      <c r="B2889" s="11" t="n"/>
      <c r="C2889" s="8">
        <f>pinyin(B2921)</f>
        <v/>
      </c>
      <c r="E2889" s="8">
        <f>IFERROR(__xludf.DUMMYFUNCTION("GOOGLETRANSLATE(B2921, ""zh"", ""vi"")"),"#VALUE!")</f>
        <v/>
      </c>
      <c r="H2889" s="9">
        <f>G2921=B2921</f>
        <v/>
      </c>
    </row>
    <row r="2890">
      <c r="B2890" s="11" t="n"/>
      <c r="C2890" s="8">
        <f>pinyin(B2922)</f>
        <v/>
      </c>
      <c r="E2890" s="8">
        <f>IFERROR(__xludf.DUMMYFUNCTION("GOOGLETRANSLATE(B2922, ""zh"", ""vi"")"),"#VALUE!")</f>
        <v/>
      </c>
      <c r="H2890" s="9">
        <f>G2922=B2922</f>
        <v/>
      </c>
    </row>
    <row r="2891">
      <c r="B2891" s="11" t="n"/>
      <c r="C2891" s="8">
        <f>pinyin(B2923)</f>
        <v/>
      </c>
      <c r="E2891" s="8">
        <f>IFERROR(__xludf.DUMMYFUNCTION("GOOGLETRANSLATE(B2923, ""zh"", ""vi"")"),"#VALUE!")</f>
        <v/>
      </c>
      <c r="H2891" s="9">
        <f>G2923=B2923</f>
        <v/>
      </c>
    </row>
    <row r="2892">
      <c r="B2892" s="11" t="n"/>
      <c r="C2892" s="8">
        <f>pinyin(B2924)</f>
        <v/>
      </c>
      <c r="E2892" s="8">
        <f>IFERROR(__xludf.DUMMYFUNCTION("GOOGLETRANSLATE(B2924, ""zh"", ""vi"")"),"#VALUE!")</f>
        <v/>
      </c>
      <c r="H2892" s="9">
        <f>G2924=B2924</f>
        <v/>
      </c>
    </row>
    <row r="2893">
      <c r="B2893" s="11" t="n"/>
      <c r="C2893" s="8">
        <f>pinyin(B2925)</f>
        <v/>
      </c>
      <c r="E2893" s="8">
        <f>IFERROR(__xludf.DUMMYFUNCTION("GOOGLETRANSLATE(B2925, ""zh"", ""vi"")"),"#VALUE!")</f>
        <v/>
      </c>
      <c r="H2893" s="9">
        <f>G2925=B2925</f>
        <v/>
      </c>
    </row>
    <row r="2894">
      <c r="B2894" s="11" t="n"/>
      <c r="C2894" s="8">
        <f>pinyin(B2926)</f>
        <v/>
      </c>
      <c r="E2894" s="8">
        <f>IFERROR(__xludf.DUMMYFUNCTION("GOOGLETRANSLATE(B2926, ""zh"", ""vi"")"),"#VALUE!")</f>
        <v/>
      </c>
      <c r="H2894" s="9">
        <f>G2926=B2926</f>
        <v/>
      </c>
    </row>
    <row r="2895">
      <c r="B2895" s="11" t="n"/>
      <c r="C2895" s="8">
        <f>pinyin(B2927)</f>
        <v/>
      </c>
      <c r="E2895" s="8">
        <f>IFERROR(__xludf.DUMMYFUNCTION("GOOGLETRANSLATE(B2927, ""zh"", ""vi"")"),"#VALUE!")</f>
        <v/>
      </c>
      <c r="H2895" s="9">
        <f>G2927=B2927</f>
        <v/>
      </c>
    </row>
    <row r="2896">
      <c r="B2896" s="11" t="n"/>
      <c r="C2896" s="8">
        <f>pinyin(B2928)</f>
        <v/>
      </c>
      <c r="E2896" s="8">
        <f>IFERROR(__xludf.DUMMYFUNCTION("GOOGLETRANSLATE(B2928, ""zh"", ""vi"")"),"#VALUE!")</f>
        <v/>
      </c>
      <c r="H2896" s="9">
        <f>G2928=B2928</f>
        <v/>
      </c>
    </row>
    <row r="2897">
      <c r="B2897" s="11" t="n"/>
      <c r="C2897" s="8">
        <f>pinyin(B2929)</f>
        <v/>
      </c>
      <c r="E2897" s="8">
        <f>IFERROR(__xludf.DUMMYFUNCTION("GOOGLETRANSLATE(B2929, ""zh"", ""vi"")"),"#VALUE!")</f>
        <v/>
      </c>
      <c r="H2897" s="9">
        <f>G2929=B2929</f>
        <v/>
      </c>
    </row>
    <row r="2898">
      <c r="B2898" s="11" t="n"/>
      <c r="C2898" s="8">
        <f>pinyin(B2930)</f>
        <v/>
      </c>
      <c r="E2898" s="8">
        <f>IFERROR(__xludf.DUMMYFUNCTION("GOOGLETRANSLATE(B2930, ""zh"", ""vi"")"),"#VALUE!")</f>
        <v/>
      </c>
      <c r="H2898" s="9">
        <f>G2930=B2930</f>
        <v/>
      </c>
    </row>
    <row r="2899">
      <c r="B2899" s="11" t="n"/>
      <c r="C2899" s="8">
        <f>pinyin(B2931)</f>
        <v/>
      </c>
      <c r="E2899" s="8">
        <f>IFERROR(__xludf.DUMMYFUNCTION("GOOGLETRANSLATE(B2931, ""zh"", ""vi"")"),"#VALUE!")</f>
        <v/>
      </c>
      <c r="H2899" s="9">
        <f>G2931=B2931</f>
        <v/>
      </c>
    </row>
    <row r="2900">
      <c r="B2900" s="11" t="n"/>
      <c r="C2900" s="8">
        <f>pinyin(B2932)</f>
        <v/>
      </c>
      <c r="E2900" s="8">
        <f>IFERROR(__xludf.DUMMYFUNCTION("GOOGLETRANSLATE(B2932, ""zh"", ""vi"")"),"#VALUE!")</f>
        <v/>
      </c>
      <c r="H2900" s="9">
        <f>G2932=B2932</f>
        <v/>
      </c>
    </row>
    <row r="2901">
      <c r="B2901" s="11" t="n"/>
      <c r="C2901" s="8">
        <f>pinyin(B2933)</f>
        <v/>
      </c>
      <c r="E2901" s="8">
        <f>IFERROR(__xludf.DUMMYFUNCTION("GOOGLETRANSLATE(B2933, ""zh"", ""vi"")"),"#VALUE!")</f>
        <v/>
      </c>
      <c r="H2901" s="9">
        <f>G2933=B2933</f>
        <v/>
      </c>
    </row>
    <row r="2902">
      <c r="B2902" s="11" t="n"/>
      <c r="C2902" s="8">
        <f>pinyin(B2934)</f>
        <v/>
      </c>
      <c r="E2902" s="8">
        <f>IFERROR(__xludf.DUMMYFUNCTION("GOOGLETRANSLATE(B2934, ""zh"", ""vi"")"),"#VALUE!")</f>
        <v/>
      </c>
      <c r="H2902" s="9">
        <f>G2934=B2934</f>
        <v/>
      </c>
    </row>
    <row r="2903">
      <c r="B2903" s="11" t="n"/>
      <c r="C2903" s="8">
        <f>pinyin(B2935)</f>
        <v/>
      </c>
      <c r="E2903" s="8">
        <f>IFERROR(__xludf.DUMMYFUNCTION("GOOGLETRANSLATE(B2935, ""zh"", ""vi"")"),"#VALUE!")</f>
        <v/>
      </c>
      <c r="H2903" s="9">
        <f>G2935=B2935</f>
        <v/>
      </c>
    </row>
    <row r="2904">
      <c r="B2904" s="11" t="n"/>
      <c r="C2904" s="8">
        <f>pinyin(B2936)</f>
        <v/>
      </c>
      <c r="E2904" s="8">
        <f>IFERROR(__xludf.DUMMYFUNCTION("GOOGLETRANSLATE(B2936, ""zh"", ""vi"")"),"#VALUE!")</f>
        <v/>
      </c>
      <c r="H2904" s="9">
        <f>G2936=B2936</f>
        <v/>
      </c>
    </row>
    <row r="2905">
      <c r="B2905" s="11" t="n"/>
      <c r="C2905" s="8">
        <f>pinyin(B2937)</f>
        <v/>
      </c>
      <c r="E2905" s="8">
        <f>IFERROR(__xludf.DUMMYFUNCTION("GOOGLETRANSLATE(B2937, ""zh"", ""vi"")"),"#VALUE!")</f>
        <v/>
      </c>
      <c r="H2905" s="9">
        <f>G2937=B2937</f>
        <v/>
      </c>
    </row>
    <row r="2906">
      <c r="B2906" s="11" t="n"/>
      <c r="C2906" s="8">
        <f>pinyin(B2938)</f>
        <v/>
      </c>
      <c r="E2906" s="8">
        <f>IFERROR(__xludf.DUMMYFUNCTION("GOOGLETRANSLATE(B2938, ""zh"", ""vi"")"),"#VALUE!")</f>
        <v/>
      </c>
      <c r="H2906" s="9">
        <f>G2938=B2938</f>
        <v/>
      </c>
    </row>
    <row r="2907">
      <c r="B2907" s="11" t="n"/>
      <c r="C2907" s="8">
        <f>pinyin(B2939)</f>
        <v/>
      </c>
      <c r="E2907" s="8">
        <f>IFERROR(__xludf.DUMMYFUNCTION("GOOGLETRANSLATE(B2939, ""zh"", ""vi"")"),"#VALUE!")</f>
        <v/>
      </c>
      <c r="H2907" s="9">
        <f>G2939=B2939</f>
        <v/>
      </c>
    </row>
    <row r="2908">
      <c r="B2908" s="11" t="n"/>
      <c r="C2908" s="8">
        <f>pinyin(B2940)</f>
        <v/>
      </c>
      <c r="E2908" s="8">
        <f>IFERROR(__xludf.DUMMYFUNCTION("GOOGLETRANSLATE(B2940, ""zh"", ""vi"")"),"#VALUE!")</f>
        <v/>
      </c>
      <c r="H2908" s="9">
        <f>G2940=B2940</f>
        <v/>
      </c>
    </row>
    <row r="2909">
      <c r="B2909" s="11" t="n"/>
      <c r="C2909" s="8">
        <f>pinyin(B2941)</f>
        <v/>
      </c>
      <c r="E2909" s="8">
        <f>IFERROR(__xludf.DUMMYFUNCTION("GOOGLETRANSLATE(B2941, ""zh"", ""vi"")"),"#VALUE!")</f>
        <v/>
      </c>
      <c r="H2909" s="9">
        <f>G2941=B2941</f>
        <v/>
      </c>
    </row>
    <row r="2910">
      <c r="B2910" s="11" t="n"/>
      <c r="C2910" s="8">
        <f>pinyin(B2942)</f>
        <v/>
      </c>
      <c r="E2910" s="8">
        <f>IFERROR(__xludf.DUMMYFUNCTION("GOOGLETRANSLATE(B2942, ""zh"", ""vi"")"),"#VALUE!")</f>
        <v/>
      </c>
      <c r="H2910" s="9">
        <f>G2942=B2942</f>
        <v/>
      </c>
    </row>
    <row r="2911">
      <c r="B2911" s="11" t="n"/>
      <c r="C2911" s="8">
        <f>pinyin(B2943)</f>
        <v/>
      </c>
      <c r="E2911" s="8">
        <f>IFERROR(__xludf.DUMMYFUNCTION("GOOGLETRANSLATE(B2943, ""zh"", ""vi"")"),"#VALUE!")</f>
        <v/>
      </c>
      <c r="H2911" s="9">
        <f>G2943=B2943</f>
        <v/>
      </c>
    </row>
    <row r="2912">
      <c r="B2912" s="11" t="n"/>
      <c r="C2912" s="8">
        <f>pinyin(B2944)</f>
        <v/>
      </c>
      <c r="E2912" s="8">
        <f>IFERROR(__xludf.DUMMYFUNCTION("GOOGLETRANSLATE(B2944, ""zh"", ""vi"")"),"#VALUE!")</f>
        <v/>
      </c>
      <c r="H2912" s="9">
        <f>G2944=B2944</f>
        <v/>
      </c>
    </row>
    <row r="2913">
      <c r="B2913" s="11" t="n"/>
      <c r="C2913" s="8">
        <f>pinyin(B2945)</f>
        <v/>
      </c>
      <c r="E2913" s="8">
        <f>IFERROR(__xludf.DUMMYFUNCTION("GOOGLETRANSLATE(B2945, ""zh"", ""vi"")"),"#VALUE!")</f>
        <v/>
      </c>
      <c r="H2913" s="9">
        <f>G2945=B2945</f>
        <v/>
      </c>
    </row>
    <row r="2914">
      <c r="B2914" s="11" t="n"/>
      <c r="C2914" s="8">
        <f>pinyin(B2946)</f>
        <v/>
      </c>
      <c r="E2914" s="8">
        <f>IFERROR(__xludf.DUMMYFUNCTION("GOOGLETRANSLATE(B2946, ""zh"", ""vi"")"),"#VALUE!")</f>
        <v/>
      </c>
      <c r="H2914" s="9">
        <f>G2946=B2946</f>
        <v/>
      </c>
    </row>
    <row r="2915">
      <c r="B2915" s="11" t="n"/>
      <c r="C2915" s="8">
        <f>pinyin(B2947)</f>
        <v/>
      </c>
      <c r="E2915" s="8">
        <f>IFERROR(__xludf.DUMMYFUNCTION("GOOGLETRANSLATE(B2947, ""zh"", ""vi"")"),"#VALUE!")</f>
        <v/>
      </c>
      <c r="H2915" s="9">
        <f>G2947=B2947</f>
        <v/>
      </c>
    </row>
    <row r="2916">
      <c r="B2916" s="11" t="n"/>
      <c r="C2916" s="8">
        <f>pinyin(B2948)</f>
        <v/>
      </c>
      <c r="E2916" s="8">
        <f>IFERROR(__xludf.DUMMYFUNCTION("GOOGLETRANSLATE(B2948, ""zh"", ""vi"")"),"#VALUE!")</f>
        <v/>
      </c>
      <c r="H2916" s="9">
        <f>G2948=B2948</f>
        <v/>
      </c>
    </row>
    <row r="2917">
      <c r="B2917" s="11" t="n"/>
      <c r="C2917" s="8">
        <f>pinyin(B2949)</f>
        <v/>
      </c>
      <c r="E2917" s="8">
        <f>IFERROR(__xludf.DUMMYFUNCTION("GOOGLETRANSLATE(B2949, ""zh"", ""vi"")"),"#VALUE!")</f>
        <v/>
      </c>
      <c r="H2917" s="9">
        <f>G2949=B2949</f>
        <v/>
      </c>
    </row>
    <row r="2918">
      <c r="B2918" s="11" t="n"/>
      <c r="C2918" s="8">
        <f>pinyin(B2950)</f>
        <v/>
      </c>
      <c r="E2918" s="8">
        <f>IFERROR(__xludf.DUMMYFUNCTION("GOOGLETRANSLATE(B2950, ""zh"", ""vi"")"),"#VALUE!")</f>
        <v/>
      </c>
      <c r="H2918" s="9">
        <f>G2950=B2950</f>
        <v/>
      </c>
    </row>
    <row r="2919">
      <c r="B2919" s="11" t="n"/>
      <c r="C2919" s="8">
        <f>pinyin(B2951)</f>
        <v/>
      </c>
      <c r="E2919" s="8">
        <f>IFERROR(__xludf.DUMMYFUNCTION("GOOGLETRANSLATE(B2951, ""zh"", ""vi"")"),"#VALUE!")</f>
        <v/>
      </c>
      <c r="H2919" s="9">
        <f>G2951=B2951</f>
        <v/>
      </c>
    </row>
    <row r="2920">
      <c r="B2920" s="11" t="n"/>
      <c r="C2920" s="8">
        <f>pinyin(B2952)</f>
        <v/>
      </c>
      <c r="E2920" s="8">
        <f>IFERROR(__xludf.DUMMYFUNCTION("GOOGLETRANSLATE(B2952, ""zh"", ""vi"")"),"#VALUE!")</f>
        <v/>
      </c>
      <c r="H2920" s="9">
        <f>G2952=B2952</f>
        <v/>
      </c>
    </row>
    <row r="2921">
      <c r="B2921" s="11" t="n"/>
      <c r="C2921" s="8">
        <f>pinyin(B2953)</f>
        <v/>
      </c>
      <c r="E2921" s="8">
        <f>IFERROR(__xludf.DUMMYFUNCTION("GOOGLETRANSLATE(B2953, ""zh"", ""vi"")"),"#VALUE!")</f>
        <v/>
      </c>
      <c r="H2921" s="9">
        <f>G2953=B2953</f>
        <v/>
      </c>
    </row>
    <row r="2922">
      <c r="B2922" s="11" t="n"/>
      <c r="C2922" s="8">
        <f>pinyin(B2954)</f>
        <v/>
      </c>
      <c r="E2922" s="8">
        <f>IFERROR(__xludf.DUMMYFUNCTION("GOOGLETRANSLATE(B2954, ""zh"", ""vi"")"),"#VALUE!")</f>
        <v/>
      </c>
      <c r="H2922" s="9">
        <f>G2954=B2954</f>
        <v/>
      </c>
    </row>
    <row r="2923">
      <c r="B2923" s="11" t="n"/>
      <c r="C2923" s="8">
        <f>pinyin(B2955)</f>
        <v/>
      </c>
      <c r="E2923" s="8">
        <f>IFERROR(__xludf.DUMMYFUNCTION("GOOGLETRANSLATE(B2955, ""zh"", ""vi"")"),"#VALUE!")</f>
        <v/>
      </c>
      <c r="H2923" s="9">
        <f>G2955=B2955</f>
        <v/>
      </c>
    </row>
    <row r="2924">
      <c r="B2924" s="11" t="n"/>
      <c r="C2924" s="8">
        <f>pinyin(B2956)</f>
        <v/>
      </c>
      <c r="E2924" s="8">
        <f>IFERROR(__xludf.DUMMYFUNCTION("GOOGLETRANSLATE(B2956, ""zh"", ""vi"")"),"#VALUE!")</f>
        <v/>
      </c>
      <c r="H2924" s="9">
        <f>G2956=B2956</f>
        <v/>
      </c>
    </row>
    <row r="2925">
      <c r="B2925" s="11" t="n"/>
      <c r="C2925" s="8">
        <f>pinyin(B2957)</f>
        <v/>
      </c>
      <c r="E2925" s="8">
        <f>IFERROR(__xludf.DUMMYFUNCTION("GOOGLETRANSLATE(B2957, ""zh"", ""vi"")"),"#VALUE!")</f>
        <v/>
      </c>
      <c r="H2925" s="9">
        <f>G2957=B2957</f>
        <v/>
      </c>
    </row>
    <row r="2926">
      <c r="B2926" s="11" t="n"/>
      <c r="C2926" s="8">
        <f>pinyin(B2958)</f>
        <v/>
      </c>
      <c r="E2926" s="8">
        <f>IFERROR(__xludf.DUMMYFUNCTION("GOOGLETRANSLATE(B2958, ""zh"", ""vi"")"),"#VALUE!")</f>
        <v/>
      </c>
      <c r="H2926" s="9">
        <f>G2958=B2958</f>
        <v/>
      </c>
    </row>
    <row r="2927">
      <c r="B2927" s="11" t="n"/>
      <c r="C2927" s="8">
        <f>pinyin(B2959)</f>
        <v/>
      </c>
      <c r="E2927" s="8">
        <f>IFERROR(__xludf.DUMMYFUNCTION("GOOGLETRANSLATE(B2959, ""zh"", ""vi"")"),"#VALUE!")</f>
        <v/>
      </c>
      <c r="H2927" s="9">
        <f>G2959=B2959</f>
        <v/>
      </c>
    </row>
    <row r="2928">
      <c r="B2928" s="11" t="n"/>
      <c r="C2928" s="8">
        <f>pinyin(B2960)</f>
        <v/>
      </c>
      <c r="E2928" s="8">
        <f>IFERROR(__xludf.DUMMYFUNCTION("GOOGLETRANSLATE(B2960, ""zh"", ""vi"")"),"#VALUE!")</f>
        <v/>
      </c>
      <c r="H2928" s="9">
        <f>G2960=B2960</f>
        <v/>
      </c>
    </row>
    <row r="2929">
      <c r="B2929" s="11" t="n"/>
      <c r="C2929" s="8">
        <f>pinyin(B2961)</f>
        <v/>
      </c>
      <c r="E2929" s="8">
        <f>IFERROR(__xludf.DUMMYFUNCTION("GOOGLETRANSLATE(B2961, ""zh"", ""vi"")"),"#VALUE!")</f>
        <v/>
      </c>
      <c r="H2929" s="9">
        <f>G2961=B2961</f>
        <v/>
      </c>
    </row>
    <row r="2930">
      <c r="B2930" s="11" t="n"/>
      <c r="C2930" s="8">
        <f>pinyin(B2962)</f>
        <v/>
      </c>
      <c r="E2930" s="8">
        <f>IFERROR(__xludf.DUMMYFUNCTION("GOOGLETRANSLATE(B2962, ""zh"", ""vi"")"),"#VALUE!")</f>
        <v/>
      </c>
      <c r="H2930" s="9">
        <f>G2962=B2962</f>
        <v/>
      </c>
    </row>
    <row r="2931">
      <c r="B2931" s="11" t="n"/>
      <c r="C2931" s="8">
        <f>pinyin(B2963)</f>
        <v/>
      </c>
      <c r="E2931" s="8">
        <f>IFERROR(__xludf.DUMMYFUNCTION("GOOGLETRANSLATE(B2963, ""zh"", ""vi"")"),"#VALUE!")</f>
        <v/>
      </c>
      <c r="H2931" s="9">
        <f>G2963=B2963</f>
        <v/>
      </c>
    </row>
    <row r="2932">
      <c r="B2932" s="11" t="n"/>
      <c r="C2932" s="8">
        <f>pinyin(B2964)</f>
        <v/>
      </c>
      <c r="E2932" s="8">
        <f>IFERROR(__xludf.DUMMYFUNCTION("GOOGLETRANSLATE(B2964, ""zh"", ""vi"")"),"#VALUE!")</f>
        <v/>
      </c>
      <c r="H2932" s="9">
        <f>G2964=B2964</f>
        <v/>
      </c>
    </row>
    <row r="2933">
      <c r="B2933" s="11" t="n"/>
      <c r="C2933" s="8">
        <f>pinyin(B2965)</f>
        <v/>
      </c>
      <c r="E2933" s="8">
        <f>IFERROR(__xludf.DUMMYFUNCTION("GOOGLETRANSLATE(B2965, ""zh"", ""vi"")"),"#VALUE!")</f>
        <v/>
      </c>
      <c r="H2933" s="9">
        <f>G2965=B2965</f>
        <v/>
      </c>
    </row>
    <row r="2934">
      <c r="B2934" s="11" t="n"/>
      <c r="C2934" s="8">
        <f>pinyin(B2966)</f>
        <v/>
      </c>
      <c r="E2934" s="8">
        <f>IFERROR(__xludf.DUMMYFUNCTION("GOOGLETRANSLATE(B2966, ""zh"", ""vi"")"),"#VALUE!")</f>
        <v/>
      </c>
      <c r="H2934" s="9">
        <f>G2966=B2966</f>
        <v/>
      </c>
    </row>
    <row r="2935">
      <c r="B2935" s="11" t="n"/>
      <c r="C2935" s="8">
        <f>pinyin(B2967)</f>
        <v/>
      </c>
      <c r="E2935" s="8">
        <f>IFERROR(__xludf.DUMMYFUNCTION("GOOGLETRANSLATE(B2967, ""zh"", ""vi"")"),"#VALUE!")</f>
        <v/>
      </c>
      <c r="H2935" s="9">
        <f>G2967=B2967</f>
        <v/>
      </c>
    </row>
    <row r="2936">
      <c r="B2936" s="11" t="n"/>
      <c r="C2936" s="8">
        <f>pinyin(B2968)</f>
        <v/>
      </c>
      <c r="E2936" s="8">
        <f>IFERROR(__xludf.DUMMYFUNCTION("GOOGLETRANSLATE(B2968, ""zh"", ""vi"")"),"#VALUE!")</f>
        <v/>
      </c>
      <c r="H2936" s="9">
        <f>G2968=B2968</f>
        <v/>
      </c>
    </row>
    <row r="2937">
      <c r="B2937" s="11" t="n"/>
      <c r="C2937" s="8">
        <f>pinyin(B2969)</f>
        <v/>
      </c>
      <c r="E2937" s="8">
        <f>IFERROR(__xludf.DUMMYFUNCTION("GOOGLETRANSLATE(B2969, ""zh"", ""vi"")"),"#VALUE!")</f>
        <v/>
      </c>
      <c r="H2937" s="9">
        <f>G2969=B2969</f>
        <v/>
      </c>
    </row>
    <row r="2938">
      <c r="B2938" s="11" t="n"/>
      <c r="C2938" s="8">
        <f>pinyin(B2970)</f>
        <v/>
      </c>
      <c r="E2938" s="8">
        <f>IFERROR(__xludf.DUMMYFUNCTION("GOOGLETRANSLATE(B2970, ""zh"", ""vi"")"),"#VALUE!")</f>
        <v/>
      </c>
      <c r="H2938" s="9">
        <f>G2970=B2970</f>
        <v/>
      </c>
    </row>
    <row r="2939">
      <c r="B2939" s="11" t="n"/>
      <c r="C2939" s="8">
        <f>pinyin(B2971)</f>
        <v/>
      </c>
      <c r="E2939" s="8">
        <f>IFERROR(__xludf.DUMMYFUNCTION("GOOGLETRANSLATE(B2971, ""zh"", ""vi"")"),"#VALUE!")</f>
        <v/>
      </c>
      <c r="H2939" s="9">
        <f>G2971=B2971</f>
        <v/>
      </c>
    </row>
    <row r="2940">
      <c r="B2940" s="11" t="n"/>
      <c r="C2940" s="8">
        <f>pinyin(B2972)</f>
        <v/>
      </c>
      <c r="E2940" s="8">
        <f>IFERROR(__xludf.DUMMYFUNCTION("GOOGLETRANSLATE(B2972, ""zh"", ""vi"")"),"#VALUE!")</f>
        <v/>
      </c>
      <c r="H2940" s="9">
        <f>G2972=B2972</f>
        <v/>
      </c>
    </row>
    <row r="2941">
      <c r="B2941" s="11" t="n"/>
      <c r="C2941" s="8">
        <f>pinyin(B2973)</f>
        <v/>
      </c>
      <c r="E2941" s="8">
        <f>IFERROR(__xludf.DUMMYFUNCTION("GOOGLETRANSLATE(B2973, ""zh"", ""vi"")"),"#VALUE!")</f>
        <v/>
      </c>
      <c r="H2941" s="9">
        <f>G2973=B2973</f>
        <v/>
      </c>
    </row>
    <row r="2942">
      <c r="B2942" s="11" t="n"/>
      <c r="C2942" s="8">
        <f>pinyin(B2974)</f>
        <v/>
      </c>
      <c r="E2942" s="8">
        <f>IFERROR(__xludf.DUMMYFUNCTION("GOOGLETRANSLATE(B2974, ""zh"", ""vi"")"),"#VALUE!")</f>
        <v/>
      </c>
      <c r="H2942" s="9">
        <f>G2974=B2974</f>
        <v/>
      </c>
    </row>
    <row r="2943">
      <c r="B2943" s="11" t="n"/>
      <c r="C2943" s="8">
        <f>pinyin(B2975)</f>
        <v/>
      </c>
      <c r="E2943" s="8">
        <f>IFERROR(__xludf.DUMMYFUNCTION("GOOGLETRANSLATE(B2975, ""zh"", ""vi"")"),"#VALUE!")</f>
        <v/>
      </c>
      <c r="H2943" s="9">
        <f>G2975=B2975</f>
        <v/>
      </c>
    </row>
    <row r="2944">
      <c r="B2944" s="11" t="n"/>
      <c r="C2944" s="8">
        <f>pinyin(B2976)</f>
        <v/>
      </c>
      <c r="E2944" s="8">
        <f>IFERROR(__xludf.DUMMYFUNCTION("GOOGLETRANSLATE(B2976, ""zh"", ""vi"")"),"#VALUE!")</f>
        <v/>
      </c>
      <c r="H2944" s="9">
        <f>G2976=B2976</f>
        <v/>
      </c>
    </row>
    <row r="2945">
      <c r="B2945" s="11" t="n"/>
      <c r="C2945" s="8">
        <f>pinyin(B2977)</f>
        <v/>
      </c>
      <c r="E2945" s="8">
        <f>IFERROR(__xludf.DUMMYFUNCTION("GOOGLETRANSLATE(B2977, ""zh"", ""vi"")"),"#VALUE!")</f>
        <v/>
      </c>
      <c r="H2945" s="9">
        <f>G2977=B2977</f>
        <v/>
      </c>
    </row>
    <row r="2946">
      <c r="B2946" s="11" t="n"/>
      <c r="C2946" s="8">
        <f>pinyin(B2978)</f>
        <v/>
      </c>
      <c r="E2946" s="8">
        <f>IFERROR(__xludf.DUMMYFUNCTION("GOOGLETRANSLATE(B2978, ""zh"", ""vi"")"),"#VALUE!")</f>
        <v/>
      </c>
      <c r="H2946" s="9">
        <f>G2978=B2978</f>
        <v/>
      </c>
    </row>
    <row r="2947">
      <c r="B2947" s="11" t="n"/>
      <c r="C2947" s="8">
        <f>pinyin(B2979)</f>
        <v/>
      </c>
      <c r="E2947" s="8">
        <f>IFERROR(__xludf.DUMMYFUNCTION("GOOGLETRANSLATE(B2979, ""zh"", ""vi"")"),"#VALUE!")</f>
        <v/>
      </c>
      <c r="H2947" s="9">
        <f>G2979=B2979</f>
        <v/>
      </c>
    </row>
    <row r="2948">
      <c r="B2948" s="11" t="n"/>
      <c r="C2948" s="8">
        <f>pinyin(B2980)</f>
        <v/>
      </c>
      <c r="E2948" s="8">
        <f>IFERROR(__xludf.DUMMYFUNCTION("GOOGLETRANSLATE(B2980, ""zh"", ""vi"")"),"#VALUE!")</f>
        <v/>
      </c>
      <c r="H2948" s="9">
        <f>G2980=B2980</f>
        <v/>
      </c>
    </row>
    <row r="2949">
      <c r="B2949" s="11" t="n"/>
      <c r="C2949" s="8">
        <f>pinyin(B2981)</f>
        <v/>
      </c>
      <c r="E2949" s="8">
        <f>IFERROR(__xludf.DUMMYFUNCTION("GOOGLETRANSLATE(B2981, ""zh"", ""vi"")"),"#VALUE!")</f>
        <v/>
      </c>
      <c r="H2949" s="9">
        <f>G2981=B2981</f>
        <v/>
      </c>
    </row>
    <row r="2950">
      <c r="B2950" s="11" t="n"/>
      <c r="C2950" s="8">
        <f>pinyin(B2982)</f>
        <v/>
      </c>
      <c r="E2950" s="8">
        <f>IFERROR(__xludf.DUMMYFUNCTION("GOOGLETRANSLATE(B2982, ""zh"", ""vi"")"),"#VALUE!")</f>
        <v/>
      </c>
      <c r="H2950" s="9">
        <f>G2982=B2982</f>
        <v/>
      </c>
    </row>
    <row r="2951">
      <c r="B2951" s="11" t="n"/>
      <c r="C2951" s="8">
        <f>pinyin(B2983)</f>
        <v/>
      </c>
      <c r="E2951" s="8">
        <f>IFERROR(__xludf.DUMMYFUNCTION("GOOGLETRANSLATE(B2983, ""zh"", ""vi"")"),"#VALUE!")</f>
        <v/>
      </c>
      <c r="H2951" s="9">
        <f>G2983=B2983</f>
        <v/>
      </c>
    </row>
    <row r="2952">
      <c r="B2952" s="11" t="n"/>
      <c r="C2952" s="8">
        <f>pinyin(B2984)</f>
        <v/>
      </c>
      <c r="E2952" s="8">
        <f>IFERROR(__xludf.DUMMYFUNCTION("GOOGLETRANSLATE(B2984, ""zh"", ""vi"")"),"#VALUE!")</f>
        <v/>
      </c>
      <c r="H2952" s="9">
        <f>G2984=B2984</f>
        <v/>
      </c>
    </row>
    <row r="2953">
      <c r="B2953" s="11" t="n"/>
      <c r="C2953" s="8">
        <f>pinyin(B2985)</f>
        <v/>
      </c>
      <c r="E2953" s="8">
        <f>IFERROR(__xludf.DUMMYFUNCTION("GOOGLETRANSLATE(B2985, ""zh"", ""vi"")"),"#VALUE!")</f>
        <v/>
      </c>
      <c r="H2953" s="9">
        <f>G2985=B2985</f>
        <v/>
      </c>
    </row>
    <row r="2954">
      <c r="B2954" s="11" t="n"/>
      <c r="C2954" s="8">
        <f>pinyin(B2986)</f>
        <v/>
      </c>
      <c r="E2954" s="8">
        <f>IFERROR(__xludf.DUMMYFUNCTION("GOOGLETRANSLATE(B2986, ""zh"", ""vi"")"),"#VALUE!")</f>
        <v/>
      </c>
      <c r="H2954" s="9">
        <f>G2986=B2986</f>
        <v/>
      </c>
    </row>
    <row r="2955">
      <c r="B2955" s="11" t="n"/>
      <c r="C2955" s="8">
        <f>pinyin(B2987)</f>
        <v/>
      </c>
      <c r="E2955" s="8">
        <f>IFERROR(__xludf.DUMMYFUNCTION("GOOGLETRANSLATE(B2987, ""zh"", ""vi"")"),"#VALUE!")</f>
        <v/>
      </c>
      <c r="H2955" s="9">
        <f>G2987=B2987</f>
        <v/>
      </c>
    </row>
    <row r="2956">
      <c r="B2956" s="11" t="n"/>
      <c r="C2956" s="8">
        <f>pinyin(B2988)</f>
        <v/>
      </c>
      <c r="E2956" s="8">
        <f>IFERROR(__xludf.DUMMYFUNCTION("GOOGLETRANSLATE(B2988, ""zh"", ""vi"")"),"#VALUE!")</f>
        <v/>
      </c>
      <c r="H2956" s="9">
        <f>G2988=B2988</f>
        <v/>
      </c>
    </row>
    <row r="2957">
      <c r="B2957" s="11" t="n"/>
      <c r="C2957" s="8">
        <f>pinyin(B2989)</f>
        <v/>
      </c>
      <c r="E2957" s="8">
        <f>IFERROR(__xludf.DUMMYFUNCTION("GOOGLETRANSLATE(B2989, ""zh"", ""vi"")"),"#VALUE!")</f>
        <v/>
      </c>
      <c r="H2957" s="9">
        <f>G2989=B2989</f>
        <v/>
      </c>
    </row>
    <row r="2958">
      <c r="B2958" s="11" t="n"/>
      <c r="C2958" s="8">
        <f>pinyin(B2990)</f>
        <v/>
      </c>
      <c r="E2958" s="8">
        <f>IFERROR(__xludf.DUMMYFUNCTION("GOOGLETRANSLATE(B2990, ""zh"", ""vi"")"),"#VALUE!")</f>
        <v/>
      </c>
      <c r="H2958" s="9">
        <f>G2990=B2990</f>
        <v/>
      </c>
    </row>
    <row r="2959">
      <c r="B2959" s="11" t="n"/>
      <c r="C2959" s="8">
        <f>pinyin(B2991)</f>
        <v/>
      </c>
      <c r="E2959" s="8">
        <f>IFERROR(__xludf.DUMMYFUNCTION("GOOGLETRANSLATE(B2991, ""zh"", ""vi"")"),"#VALUE!")</f>
        <v/>
      </c>
      <c r="H2959" s="9">
        <f>G2991=B2991</f>
        <v/>
      </c>
    </row>
    <row r="2960">
      <c r="B2960" s="11" t="n"/>
      <c r="C2960" s="8">
        <f>pinyin(B2992)</f>
        <v/>
      </c>
      <c r="E2960" s="8">
        <f>IFERROR(__xludf.DUMMYFUNCTION("GOOGLETRANSLATE(B2992, ""zh"", ""vi"")"),"#VALUE!")</f>
        <v/>
      </c>
      <c r="H2960" s="9">
        <f>G2992=B2992</f>
        <v/>
      </c>
    </row>
    <row r="2961">
      <c r="B2961" s="11" t="n"/>
      <c r="C2961" s="8">
        <f>pinyin(B2993)</f>
        <v/>
      </c>
      <c r="E2961" s="8">
        <f>IFERROR(__xludf.DUMMYFUNCTION("GOOGLETRANSLATE(B2993, ""zh"", ""vi"")"),"#VALUE!")</f>
        <v/>
      </c>
      <c r="H2961" s="9">
        <f>G2993=B2993</f>
        <v/>
      </c>
    </row>
    <row r="2962">
      <c r="B2962" s="11" t="n"/>
      <c r="C2962" s="8">
        <f>pinyin(B2994)</f>
        <v/>
      </c>
      <c r="E2962" s="8">
        <f>IFERROR(__xludf.DUMMYFUNCTION("GOOGLETRANSLATE(B2994, ""zh"", ""vi"")"),"#VALUE!")</f>
        <v/>
      </c>
      <c r="H2962" s="9">
        <f>G2994=B2994</f>
        <v/>
      </c>
    </row>
    <row r="2963">
      <c r="B2963" s="11" t="n"/>
      <c r="C2963" s="8">
        <f>pinyin(B2995)</f>
        <v/>
      </c>
      <c r="E2963" s="8">
        <f>IFERROR(__xludf.DUMMYFUNCTION("GOOGLETRANSLATE(B2995, ""zh"", ""vi"")"),"#VALUE!")</f>
        <v/>
      </c>
      <c r="H2963" s="9">
        <f>G2995=B2995</f>
        <v/>
      </c>
    </row>
    <row r="2964">
      <c r="B2964" s="11" t="n"/>
      <c r="C2964" s="8">
        <f>pinyin(B2996)</f>
        <v/>
      </c>
      <c r="E2964" s="8">
        <f>IFERROR(__xludf.DUMMYFUNCTION("GOOGLETRANSLATE(B2996, ""zh"", ""vi"")"),"#VALUE!")</f>
        <v/>
      </c>
      <c r="H2964" s="9">
        <f>G2996=B2996</f>
        <v/>
      </c>
    </row>
    <row r="2965">
      <c r="B2965" s="11" t="n"/>
      <c r="C2965" s="8">
        <f>pinyin(B2997)</f>
        <v/>
      </c>
      <c r="E2965" s="8">
        <f>IFERROR(__xludf.DUMMYFUNCTION("GOOGLETRANSLATE(B2997, ""zh"", ""vi"")"),"#VALUE!")</f>
        <v/>
      </c>
      <c r="H2965" s="9">
        <f>G2997=B2997</f>
        <v/>
      </c>
    </row>
    <row r="2966">
      <c r="B2966" s="11" t="n"/>
      <c r="C2966" s="8">
        <f>pinyin(B2998)</f>
        <v/>
      </c>
      <c r="E2966" s="8">
        <f>IFERROR(__xludf.DUMMYFUNCTION("GOOGLETRANSLATE(B2998, ""zh"", ""vi"")"),"#VALUE!")</f>
        <v/>
      </c>
      <c r="H2966" s="9">
        <f>G2998=B2998</f>
        <v/>
      </c>
    </row>
    <row r="2967">
      <c r="B2967" s="11" t="n"/>
      <c r="C2967" s="8">
        <f>pinyin(B2999)</f>
        <v/>
      </c>
      <c r="E2967" s="8">
        <f>IFERROR(__xludf.DUMMYFUNCTION("GOOGLETRANSLATE(B2999, ""zh"", ""vi"")"),"#VALUE!")</f>
        <v/>
      </c>
      <c r="H2967" s="9">
        <f>G2999=B2999</f>
        <v/>
      </c>
    </row>
    <row r="2968">
      <c r="B2968" s="11" t="n"/>
      <c r="C2968" s="8">
        <f>pinyin(B3000)</f>
        <v/>
      </c>
      <c r="E2968" s="8">
        <f>IFERROR(__xludf.DUMMYFUNCTION("GOOGLETRANSLATE(B3000, ""zh"", ""vi"")"),"#VALUE!")</f>
        <v/>
      </c>
      <c r="H2968" s="9">
        <f>G3000=B3000</f>
        <v/>
      </c>
    </row>
    <row r="2969">
      <c r="B2969" s="11" t="n"/>
      <c r="C2969" s="8">
        <f>pinyin(B3001)</f>
        <v/>
      </c>
      <c r="E2969" s="8">
        <f>IFERROR(__xludf.DUMMYFUNCTION("GOOGLETRANSLATE(B3001, ""zh"", ""vi"")"),"#VALUE!")</f>
        <v/>
      </c>
      <c r="H2969" s="9">
        <f>G3001=B3001</f>
        <v/>
      </c>
    </row>
    <row r="2970">
      <c r="B2970" s="11" t="n"/>
      <c r="C2970" s="8">
        <f>pinyin(B3002)</f>
        <v/>
      </c>
      <c r="E2970" s="8">
        <f>IFERROR(__xludf.DUMMYFUNCTION("GOOGLETRANSLATE(B3002, ""zh"", ""vi"")"),"#VALUE!")</f>
        <v/>
      </c>
      <c r="H2970" s="9">
        <f>G3002=B3002</f>
        <v/>
      </c>
    </row>
    <row r="2971">
      <c r="B2971" s="11" t="n"/>
      <c r="C2971" s="8">
        <f>pinyin(B3003)</f>
        <v/>
      </c>
      <c r="E2971" s="8">
        <f>IFERROR(__xludf.DUMMYFUNCTION("GOOGLETRANSLATE(B3003, ""zh"", ""vi"")"),"#VALUE!")</f>
        <v/>
      </c>
      <c r="H2971" s="9">
        <f>G3003=B3003</f>
        <v/>
      </c>
    </row>
    <row r="2972">
      <c r="B2972" s="11" t="n"/>
      <c r="C2972" s="8">
        <f>pinyin(B3004)</f>
        <v/>
      </c>
      <c r="E2972" s="8">
        <f>IFERROR(__xludf.DUMMYFUNCTION("GOOGLETRANSLATE(B3004, ""zh"", ""vi"")"),"#VALUE!")</f>
        <v/>
      </c>
      <c r="H2972" s="9">
        <f>G3004=B3004</f>
        <v/>
      </c>
    </row>
    <row r="2973">
      <c r="B2973" s="11" t="n"/>
      <c r="C2973" s="8">
        <f>pinyin(B3005)</f>
        <v/>
      </c>
      <c r="E2973" s="8">
        <f>IFERROR(__xludf.DUMMYFUNCTION("GOOGLETRANSLATE(B3005, ""zh"", ""vi"")"),"#VALUE!")</f>
        <v/>
      </c>
      <c r="H2973" s="9">
        <f>G3005=B3005</f>
        <v/>
      </c>
    </row>
    <row r="2974">
      <c r="B2974" s="11" t="n"/>
      <c r="C2974" s="8">
        <f>pinyin(B3006)</f>
        <v/>
      </c>
      <c r="E2974" s="8">
        <f>IFERROR(__xludf.DUMMYFUNCTION("GOOGLETRANSLATE(B3006, ""zh"", ""vi"")"),"#VALUE!")</f>
        <v/>
      </c>
      <c r="H2974" s="9">
        <f>G3006=B3006</f>
        <v/>
      </c>
    </row>
    <row r="2975">
      <c r="B2975" s="11" t="n"/>
      <c r="C2975" s="8">
        <f>pinyin(B3007)</f>
        <v/>
      </c>
      <c r="E2975" s="8">
        <f>IFERROR(__xludf.DUMMYFUNCTION("GOOGLETRANSLATE(B3007, ""zh"", ""vi"")"),"#VALUE!")</f>
        <v/>
      </c>
      <c r="H2975" s="9">
        <f>G3007=B3007</f>
        <v/>
      </c>
    </row>
    <row r="2976">
      <c r="B2976" s="11" t="n"/>
      <c r="C2976" s="8">
        <f>pinyin(B3008)</f>
        <v/>
      </c>
      <c r="E2976" s="8">
        <f>IFERROR(__xludf.DUMMYFUNCTION("GOOGLETRANSLATE(B3008, ""zh"", ""vi"")"),"#VALUE!")</f>
        <v/>
      </c>
      <c r="H2976" s="9">
        <f>G3008=B3008</f>
        <v/>
      </c>
    </row>
    <row r="2977">
      <c r="B2977" s="11" t="n"/>
      <c r="C2977" s="8">
        <f>pinyin(B3009)</f>
        <v/>
      </c>
      <c r="E2977" s="8">
        <f>IFERROR(__xludf.DUMMYFUNCTION("GOOGLETRANSLATE(B3009, ""zh"", ""vi"")"),"#VALUE!")</f>
        <v/>
      </c>
      <c r="H2977" s="9">
        <f>G3009=B3009</f>
        <v/>
      </c>
    </row>
    <row r="2978">
      <c r="B2978" s="11" t="n"/>
      <c r="C2978" s="8">
        <f>pinyin(B3010)</f>
        <v/>
      </c>
      <c r="E2978" s="8">
        <f>IFERROR(__xludf.DUMMYFUNCTION("GOOGLETRANSLATE(B3010, ""zh"", ""vi"")"),"#VALUE!")</f>
        <v/>
      </c>
      <c r="H2978" s="9">
        <f>G3010=B3010</f>
        <v/>
      </c>
    </row>
    <row r="2979">
      <c r="B2979" s="11" t="n"/>
      <c r="C2979" s="8">
        <f>pinyin(B3011)</f>
        <v/>
      </c>
      <c r="E2979" s="8">
        <f>IFERROR(__xludf.DUMMYFUNCTION("GOOGLETRANSLATE(B3011, ""zh"", ""vi"")"),"#VALUE!")</f>
        <v/>
      </c>
      <c r="H2979" s="9">
        <f>G3011=B3011</f>
        <v/>
      </c>
    </row>
    <row r="2980">
      <c r="B2980" s="11" t="n"/>
      <c r="C2980" s="8">
        <f>pinyin(B3012)</f>
        <v/>
      </c>
      <c r="E2980" s="8">
        <f>IFERROR(__xludf.DUMMYFUNCTION("GOOGLETRANSLATE(B3012, ""zh"", ""vi"")"),"#VALUE!")</f>
        <v/>
      </c>
      <c r="H2980" s="9">
        <f>G3012=B3012</f>
        <v/>
      </c>
    </row>
    <row r="2981">
      <c r="B2981" s="11" t="n"/>
      <c r="C2981" s="8">
        <f>pinyin(B3013)</f>
        <v/>
      </c>
      <c r="E2981" s="8">
        <f>IFERROR(__xludf.DUMMYFUNCTION("GOOGLETRANSLATE(B3013, ""zh"", ""vi"")"),"#VALUE!")</f>
        <v/>
      </c>
      <c r="H2981" s="9">
        <f>G3013=B3013</f>
        <v/>
      </c>
    </row>
    <row r="2982">
      <c r="B2982" s="11" t="n"/>
      <c r="C2982" s="8">
        <f>pinyin(B3014)</f>
        <v/>
      </c>
      <c r="E2982" s="8">
        <f>IFERROR(__xludf.DUMMYFUNCTION("GOOGLETRANSLATE(B3014, ""zh"", ""vi"")"),"#VALUE!")</f>
        <v/>
      </c>
      <c r="H2982" s="9">
        <f>G3014=B3014</f>
        <v/>
      </c>
    </row>
    <row r="2983">
      <c r="B2983" s="11" t="n"/>
      <c r="C2983" s="8">
        <f>pinyin(B3015)</f>
        <v/>
      </c>
      <c r="E2983" s="8">
        <f>IFERROR(__xludf.DUMMYFUNCTION("GOOGLETRANSLATE(B3015, ""zh"", ""vi"")"),"#VALUE!")</f>
        <v/>
      </c>
      <c r="H2983" s="9">
        <f>G3015=B3015</f>
        <v/>
      </c>
    </row>
    <row r="2984">
      <c r="B2984" s="11" t="n"/>
      <c r="C2984" s="8">
        <f>pinyin(B3016)</f>
        <v/>
      </c>
      <c r="E2984" s="8">
        <f>IFERROR(__xludf.DUMMYFUNCTION("GOOGLETRANSLATE(B3016, ""zh"", ""vi"")"),"#VALUE!")</f>
        <v/>
      </c>
      <c r="H2984" s="9">
        <f>G3016=B3016</f>
        <v/>
      </c>
    </row>
    <row r="2985">
      <c r="B2985" s="11" t="n"/>
      <c r="C2985" s="8">
        <f>pinyin(B3017)</f>
        <v/>
      </c>
      <c r="E2985" s="8">
        <f>IFERROR(__xludf.DUMMYFUNCTION("GOOGLETRANSLATE(B3017, ""zh"", ""vi"")"),"#VALUE!")</f>
        <v/>
      </c>
      <c r="H2985" s="9">
        <f>G3017=B3017</f>
        <v/>
      </c>
    </row>
    <row r="2986">
      <c r="B2986" s="11" t="n"/>
      <c r="C2986" s="8">
        <f>pinyin(B3018)</f>
        <v/>
      </c>
      <c r="E2986" s="8">
        <f>IFERROR(__xludf.DUMMYFUNCTION("GOOGLETRANSLATE(B3018, ""zh"", ""vi"")"),"#VALUE!")</f>
        <v/>
      </c>
      <c r="H2986" s="9">
        <f>G3018=B3018</f>
        <v/>
      </c>
    </row>
    <row r="2987">
      <c r="B2987" s="11" t="n"/>
      <c r="C2987" s="8">
        <f>pinyin(B3019)</f>
        <v/>
      </c>
      <c r="E2987" s="8">
        <f>IFERROR(__xludf.DUMMYFUNCTION("GOOGLETRANSLATE(B3019, ""zh"", ""vi"")"),"#VALUE!")</f>
        <v/>
      </c>
      <c r="H2987" s="9">
        <f>G3019=B3019</f>
        <v/>
      </c>
    </row>
    <row r="2988">
      <c r="B2988" s="11" t="n"/>
      <c r="C2988" s="8">
        <f>pinyin(B3020)</f>
        <v/>
      </c>
      <c r="E2988" s="8">
        <f>IFERROR(__xludf.DUMMYFUNCTION("GOOGLETRANSLATE(B3020, ""zh"", ""vi"")"),"#VALUE!")</f>
        <v/>
      </c>
      <c r="H2988" s="9">
        <f>G3020=B3020</f>
        <v/>
      </c>
    </row>
    <row r="2989">
      <c r="B2989" s="11" t="n"/>
      <c r="C2989" s="8">
        <f>pinyin(B3021)</f>
        <v/>
      </c>
      <c r="E2989" s="8">
        <f>IFERROR(__xludf.DUMMYFUNCTION("GOOGLETRANSLATE(B3021, ""zh"", ""vi"")"),"#VALUE!")</f>
        <v/>
      </c>
      <c r="H2989" s="9">
        <f>G3021=B3021</f>
        <v/>
      </c>
    </row>
    <row r="2990">
      <c r="B2990" s="11" t="n"/>
      <c r="C2990" s="8">
        <f>pinyin(B3022)</f>
        <v/>
      </c>
      <c r="E2990" s="8">
        <f>IFERROR(__xludf.DUMMYFUNCTION("GOOGLETRANSLATE(B3022, ""zh"", ""vi"")"),"#VALUE!")</f>
        <v/>
      </c>
      <c r="H2990" s="9">
        <f>G3022=B3022</f>
        <v/>
      </c>
    </row>
    <row r="2991">
      <c r="B2991" s="11" t="n"/>
      <c r="C2991" s="8">
        <f>pinyin(B3023)</f>
        <v/>
      </c>
      <c r="E2991" s="8">
        <f>IFERROR(__xludf.DUMMYFUNCTION("GOOGLETRANSLATE(B3023, ""zh"", ""vi"")"),"#VALUE!")</f>
        <v/>
      </c>
      <c r="H2991" s="9">
        <f>G3023=B3023</f>
        <v/>
      </c>
    </row>
    <row r="2992">
      <c r="B2992" s="11" t="n"/>
      <c r="C2992" s="8">
        <f>pinyin(B3024)</f>
        <v/>
      </c>
      <c r="E2992" s="8">
        <f>IFERROR(__xludf.DUMMYFUNCTION("GOOGLETRANSLATE(B3024, ""zh"", ""vi"")"),"#VALUE!")</f>
        <v/>
      </c>
      <c r="H2992" s="9">
        <f>G3024=B3024</f>
        <v/>
      </c>
    </row>
    <row r="2993">
      <c r="B2993" s="11" t="n"/>
      <c r="C2993" s="8">
        <f>pinyin(B3025)</f>
        <v/>
      </c>
      <c r="E2993" s="8">
        <f>IFERROR(__xludf.DUMMYFUNCTION("GOOGLETRANSLATE(B3025, ""zh"", ""vi"")"),"#VALUE!")</f>
        <v/>
      </c>
      <c r="H2993" s="9">
        <f>G3025=B3025</f>
        <v/>
      </c>
    </row>
    <row r="2994">
      <c r="A2994" s="0" t="inlineStr">
        <is>
          <t>Bài 29</t>
        </is>
      </c>
      <c r="B2994" s="0" t="inlineStr">
        <is>
          <t>难堪</t>
        </is>
      </c>
      <c r="C2994" s="0" t="inlineStr">
        <is>
          <t>nánkān</t>
        </is>
      </c>
      <c r="D2994" s="0" t="inlineStr">
        <is>
          <t>感到很不好意思，很尴尬，下不来台</t>
        </is>
      </c>
      <c r="E2994" s="0" t="inlineStr">
        <is>
          <t>khó xử, bẽ bàng, ngượng</t>
        </is>
      </c>
      <c r="F2994" s="0" t="inlineStr">
        <is>
          <t>上课时被学生问到一个我也不太确定的语法，我一时有点难堪。</t>
        </is>
      </c>
      <c r="G2994" s="0" t="inlineStr"/>
      <c r="H2994" s="0" t="inlineStr"/>
    </row>
    <row r="2995">
      <c r="A2995" s="0" t="inlineStr">
        <is>
          <t>Bài 29</t>
        </is>
      </c>
      <c r="B2995" s="0" t="inlineStr">
        <is>
          <t>岂有此理</t>
        </is>
      </c>
      <c r="C2995" s="0" t="inlineStr">
        <is>
          <t>qǐyǒucǐlǐ</t>
        </is>
      </c>
      <c r="D2995" s="0" t="inlineStr">
        <is>
          <t>哪有这样的道理；表示对不合理的事很生气</t>
        </is>
      </c>
      <c r="E2995" s="0" t="inlineStr">
        <is>
          <t>thật vô lý, làm gì có cái lý đó</t>
        </is>
      </c>
      <c r="F2995" s="0" t="inlineStr">
        <is>
          <t>我熬夜背了那么多生词，考试居然一个都没考到，真是岂有此理！</t>
        </is>
      </c>
      <c r="G2995" s="0" t="inlineStr"/>
      <c r="H2995" s="0" t="inlineStr"/>
    </row>
    <row r="2996">
      <c r="A2996" s="0" t="inlineStr">
        <is>
          <t>Bài 29</t>
        </is>
      </c>
      <c r="B2996" s="0" t="inlineStr">
        <is>
          <t>庸俗</t>
        </is>
      </c>
      <c r="C2996" s="0" t="inlineStr">
        <is>
          <t>yōngsú</t>
        </is>
      </c>
      <c r="D2996" s="0" t="inlineStr">
        <is>
          <t>不高雅，低级，没有品味</t>
        </is>
      </c>
      <c r="E2996" s="0" t="inlineStr">
        <is>
          <t>tầm thường, dung tục</t>
        </is>
      </c>
      <c r="F2996" s="0" t="inlineStr">
        <is>
          <t>我不太喜欢那种只谈钱、谈名牌的庸俗话题。</t>
        </is>
      </c>
      <c r="G2996" s="0" t="inlineStr"/>
      <c r="H2996" s="0" t="inlineStr"/>
    </row>
    <row r="2997">
      <c r="A2997" s="0" t="inlineStr">
        <is>
          <t>Bài 29</t>
        </is>
      </c>
      <c r="B2997" s="0" t="inlineStr">
        <is>
          <t>档次</t>
        </is>
      </c>
      <c r="C2997" s="0" t="inlineStr">
        <is>
          <t>dàngcì</t>
        </is>
      </c>
      <c r="D2997" s="0" t="inlineStr">
        <is>
          <t>按质量或水平分出的高低等级</t>
        </is>
      </c>
      <c r="E2997" s="0" t="inlineStr">
        <is>
          <t>đẳng cấp, thứ hạng</t>
        </is>
      </c>
      <c r="F2997" s="0" t="inlineStr">
        <is>
          <t>这家咖啡馆虽然不大，但装修和服务都挺有档次的。</t>
        </is>
      </c>
      <c r="G2997" s="0" t="inlineStr"/>
      <c r="H2997" s="0" t="inlineStr"/>
    </row>
    <row r="2998">
      <c r="A2998" s="0" t="inlineStr">
        <is>
          <t>Bài 29</t>
        </is>
      </c>
      <c r="B2998" s="0" t="inlineStr">
        <is>
          <t>诸位</t>
        </is>
      </c>
      <c r="C2998" s="0" t="inlineStr">
        <is>
          <t>zhūwèi</t>
        </is>
      </c>
      <c r="D2998" s="0" t="inlineStr">
        <is>
          <t>对很多人的尊称，各位</t>
        </is>
      </c>
      <c r="E2998" s="0" t="inlineStr">
        <is>
          <t>chư vị, các vị (các anh chị)</t>
        </is>
      </c>
      <c r="F2998" s="0" t="inlineStr">
        <is>
          <t>上课第一天我常对学生说：“诸位，学中文最重要的就是坚持。”</t>
        </is>
      </c>
      <c r="G2998" s="0" t="inlineStr"/>
      <c r="H2998" s="0" t="inlineStr"/>
    </row>
    <row r="2999">
      <c r="A2999" s="0" t="inlineStr">
        <is>
          <t>Bài 29</t>
        </is>
      </c>
      <c r="B2999" s="0" t="inlineStr">
        <is>
          <t>预先</t>
        </is>
      </c>
      <c r="C2999" s="0" t="inlineStr">
        <is>
          <t>yùxiān</t>
        </is>
      </c>
      <c r="D2999" s="0" t="inlineStr">
        <is>
          <t>在事情发生之前就先做某事</t>
        </is>
      </c>
      <c r="E2999" s="0" t="inlineStr">
        <is>
          <t>trước, từ trước</t>
        </is>
      </c>
      <c r="F2999" s="0" t="inlineStr">
        <is>
          <t>明天要跟中国同事开会，我得预先把要说的话准备好。</t>
        </is>
      </c>
      <c r="G2999" s="0" t="inlineStr"/>
      <c r="H2999" s="0" t="inlineStr"/>
    </row>
    <row r="3000">
      <c r="A3000" s="0" t="inlineStr">
        <is>
          <t>Bài 29</t>
        </is>
      </c>
      <c r="B3000" s="0" t="inlineStr">
        <is>
          <t>直觉</t>
        </is>
      </c>
      <c r="C3000" s="0" t="inlineStr">
        <is>
          <t>zhíjué</t>
        </is>
      </c>
      <c r="D3000" s="0" t="inlineStr">
        <is>
          <t>不用思考就直接感觉到的判断</t>
        </is>
      </c>
      <c r="E3000" s="0" t="inlineStr">
        <is>
          <t>trực giác</t>
        </is>
      </c>
      <c r="F3000" s="0" t="inlineStr">
        <is>
          <t>做HSK阅读题时，有时候我会先凭直觉选一个答案，再回头检查。</t>
        </is>
      </c>
      <c r="G3000" s="0" t="inlineStr"/>
      <c r="H3000" s="0" t="inlineStr"/>
    </row>
    <row r="3001">
      <c r="A3001" s="0" t="inlineStr">
        <is>
          <t>Bài 29</t>
        </is>
      </c>
      <c r="B3001" s="0" t="inlineStr">
        <is>
          <t>座右铭</t>
        </is>
      </c>
      <c r="C3001" s="0" t="inlineStr">
        <is>
          <t>zuòyòumíng</t>
        </is>
      </c>
      <c r="D3001" s="0" t="inlineStr">
        <is>
          <t>用来提醒、勉励自己的一句话</t>
        </is>
      </c>
      <c r="E3001" s="0" t="inlineStr">
        <is>
          <t>châm ngôn (tự nhắc mình)</t>
        </is>
      </c>
      <c r="F3001" s="0" t="inlineStr">
        <is>
          <t>“坚持就是胜利”是我备考路上的座右铭。</t>
        </is>
      </c>
      <c r="G3001" s="0" t="inlineStr"/>
      <c r="H3001" s="0" t="inlineStr"/>
    </row>
    <row r="3002">
      <c r="A3002" s="0" t="inlineStr">
        <is>
          <t>Bài 29</t>
        </is>
      </c>
      <c r="B3002" s="0" t="inlineStr">
        <is>
          <t>通用</t>
        </is>
      </c>
      <c r="C3002" s="0" t="inlineStr">
        <is>
          <t>tōngyòng</t>
        </is>
      </c>
      <c r="D3002" s="0" t="inlineStr">
        <is>
          <t>大家都可以用，普遍使用</t>
        </is>
      </c>
      <c r="E3002" s="0" t="inlineStr">
        <is>
          <t>dùng chung, thông dụng</t>
        </is>
      </c>
      <c r="F3002" s="0" t="inlineStr">
        <is>
          <t>微笑和礼貌几乎在哪个国家都是通用的。</t>
        </is>
      </c>
      <c r="G3002" s="0" t="inlineStr"/>
      <c r="H3002" s="0" t="inlineStr"/>
    </row>
    <row r="3003">
      <c r="A3003" s="0" t="inlineStr">
        <is>
          <t>Bài 29</t>
        </is>
      </c>
      <c r="B3003" s="0" t="inlineStr">
        <is>
          <t>调节</t>
        </is>
      </c>
      <c r="C3003" s="0" t="inlineStr">
        <is>
          <t>tiáojié</t>
        </is>
      </c>
      <c r="D3003" s="0" t="inlineStr">
        <is>
          <t>调整，使更合适、更协调</t>
        </is>
      </c>
      <c r="E3003" s="0" t="inlineStr">
        <is>
          <t>điều tiết, điều hòa</t>
        </is>
      </c>
      <c r="F3003" s="0" t="inlineStr">
        <is>
          <t>工作压力大的时候，我会用跑步来调节自己的情绪。</t>
        </is>
      </c>
      <c r="G3003" s="0" t="inlineStr"/>
      <c r="H3003" s="0" t="inlineStr"/>
    </row>
    <row r="3004">
      <c r="A3004" s="0" t="inlineStr">
        <is>
          <t>Bài 29</t>
        </is>
      </c>
      <c r="B3004" s="0" t="inlineStr">
        <is>
          <t>循环</t>
        </is>
      </c>
      <c r="C3004" s="0" t="inlineStr">
        <is>
          <t>xúnhuán</t>
        </is>
      </c>
      <c r="D3004" s="0" t="inlineStr">
        <is>
          <t>按顺序重复地运行一圈又一圈</t>
        </is>
      </c>
      <c r="E3004" s="0" t="inlineStr">
        <is>
          <t>tuần hoàn</t>
        </is>
      </c>
      <c r="F3004" s="0" t="inlineStr">
        <is>
          <t>早睡早起形成良性循环，我白天学习的效率就高多了。</t>
        </is>
      </c>
      <c r="G3004" s="0" t="inlineStr"/>
      <c r="H3004" s="0" t="inlineStr"/>
    </row>
    <row r="3005">
      <c r="A3005" s="0" t="inlineStr">
        <is>
          <t>Bài 29</t>
        </is>
      </c>
      <c r="B3005" s="0" t="inlineStr">
        <is>
          <t>收缩</t>
        </is>
      </c>
      <c r="C3005" s="0" t="inlineStr">
        <is>
          <t>shōusuō</t>
        </is>
      </c>
      <c r="D3005" s="0" t="inlineStr">
        <is>
          <t>由大变小、往里缩</t>
        </is>
      </c>
      <c r="E3005" s="0" t="inlineStr">
        <is>
          <t>co lại, thu nhỏ</t>
        </is>
      </c>
      <c r="F3005" s="0" t="inlineStr">
        <is>
          <t>运动完一定要拉伸，不然肌肉一直收缩，第二天会很酸。</t>
        </is>
      </c>
      <c r="G3005" s="0" t="inlineStr"/>
      <c r="H3005" s="0" t="inlineStr"/>
    </row>
    <row r="3006">
      <c r="A3006" s="0" t="inlineStr">
        <is>
          <t>Bài 29</t>
        </is>
      </c>
      <c r="B3006" s="0" t="inlineStr">
        <is>
          <t>氧气</t>
        </is>
      </c>
      <c r="C3006" s="0" t="inlineStr">
        <is>
          <t>yǎngqì</t>
        </is>
      </c>
      <c r="D3006" s="0" t="inlineStr">
        <is>
          <t>空气里让人呼吸、能助燃的气体</t>
        </is>
      </c>
      <c r="E3006" s="0" t="inlineStr">
        <is>
          <t>khí oxy</t>
        </is>
      </c>
      <c r="F3006" s="0" t="inlineStr">
        <is>
          <t>房间闷的时候我会开窗，让新鲜氧气进来，脑子也清醒些。</t>
        </is>
      </c>
      <c r="G3006" s="0" t="inlineStr"/>
      <c r="H3006" s="0" t="inlineStr"/>
    </row>
    <row r="3007">
      <c r="A3007" s="0" t="inlineStr">
        <is>
          <t>Bài 29</t>
        </is>
      </c>
      <c r="B3007" s="0" t="inlineStr">
        <is>
          <t>斟酌</t>
        </is>
      </c>
      <c r="C3007" s="0" t="inlineStr">
        <is>
          <t>zhēnzhuó</t>
        </is>
      </c>
      <c r="D3007" s="0" t="inlineStr">
        <is>
          <t>反复考虑，仔细掂量该怎么做</t>
        </is>
      </c>
      <c r="E3007" s="0" t="inlineStr">
        <is>
          <t>cân nhắc, đắn đo</t>
        </is>
      </c>
      <c r="F3007" s="0" t="inlineStr">
        <is>
          <t>给学生写评语时，我会反复斟酌用词，怕伤到他们的自信。</t>
        </is>
      </c>
      <c r="G3007" s="0" t="inlineStr"/>
      <c r="H3007" s="0" t="inlineStr"/>
    </row>
    <row r="3008">
      <c r="A3008" s="0" t="inlineStr">
        <is>
          <t>Bài 29</t>
        </is>
      </c>
      <c r="B3008" s="0" t="inlineStr">
        <is>
          <t>虚伪</t>
        </is>
      </c>
      <c r="C3008" s="0" t="inlineStr">
        <is>
          <t>xūwěi</t>
        </is>
      </c>
      <c r="D3008" s="0" t="inlineStr">
        <is>
          <t>不真实，假装的，表里不一</t>
        </is>
      </c>
      <c r="E3008" s="0" t="inlineStr">
        <is>
          <t>giả dối, đạo đức giả</t>
        </is>
      </c>
      <c r="F3008" s="0" t="inlineStr">
        <is>
          <t>我不太会应付那种表面客气、其实很虚伪的人。</t>
        </is>
      </c>
      <c r="G3008" s="0" t="inlineStr"/>
      <c r="H3008" s="0" t="inlineStr"/>
    </row>
    <row r="3009">
      <c r="A3009" s="0" t="inlineStr">
        <is>
          <t>Bài 29</t>
        </is>
      </c>
      <c r="B3009" s="0" t="inlineStr">
        <is>
          <t>违背</t>
        </is>
      </c>
      <c r="C3009" s="0" t="inlineStr">
        <is>
          <t>wéibèi</t>
        </is>
      </c>
      <c r="D3009" s="0" t="inlineStr">
        <is>
          <t>不遵守，跟…相反</t>
        </is>
      </c>
      <c r="E3009" s="0" t="inlineStr">
        <is>
          <t>làm trái, đi ngược lại</t>
        </is>
      </c>
      <c r="F3009" s="0" t="inlineStr">
        <is>
          <t>为了赶进度而违背学习规律，结果反而记不牢。</t>
        </is>
      </c>
      <c r="G3009" s="0" t="inlineStr"/>
      <c r="H3009" s="0" t="inlineStr"/>
    </row>
    <row r="3010">
      <c r="A3010" s="0" t="inlineStr">
        <is>
          <t>Bài 29</t>
        </is>
      </c>
      <c r="B3010" s="0" t="inlineStr">
        <is>
          <t>回避</t>
        </is>
      </c>
      <c r="C3010" s="0" t="inlineStr">
        <is>
          <t>huíbì</t>
        </is>
      </c>
      <c r="D3010" s="0" t="inlineStr">
        <is>
          <t>有意躲开，不正面面对</t>
        </is>
      </c>
      <c r="E3010" s="0" t="inlineStr">
        <is>
          <t>né tránh</t>
        </is>
      </c>
      <c r="F3010" s="0" t="inlineStr">
        <is>
          <t>遇到不会的语法，我不想回避，而是当场就查清楚。</t>
        </is>
      </c>
      <c r="G3010" s="0" t="inlineStr"/>
      <c r="H3010" s="0" t="inlineStr"/>
    </row>
    <row r="3011">
      <c r="A3011" s="0" t="inlineStr">
        <is>
          <t>Bài 29</t>
        </is>
      </c>
      <c r="B3011" s="0" t="inlineStr">
        <is>
          <t>岔</t>
        </is>
      </c>
      <c r="C3011" s="0" t="inlineStr">
        <is>
          <t>chà</t>
        </is>
      </c>
      <c r="D3011" s="0" t="inlineStr">
        <is>
          <t>把话题引到别的方向</t>
        </is>
      </c>
      <c r="E3011" s="0" t="inlineStr">
        <is>
          <t>lái (chủ đề) sang chỗ khác</t>
        </is>
      </c>
      <c r="F3011" s="0" t="inlineStr">
        <is>
          <t>每次别人问我工资多少，我都赶紧把话题岔开。</t>
        </is>
      </c>
      <c r="G3011" s="0" t="inlineStr"/>
      <c r="H3011" s="0" t="inlineStr"/>
    </row>
    <row r="3012">
      <c r="A3012" s="0" t="inlineStr">
        <is>
          <t>Bài 29</t>
        </is>
      </c>
      <c r="B3012" s="0" t="inlineStr">
        <is>
          <t>装聋装哑</t>
        </is>
      </c>
      <c r="C3012" s="0" t="inlineStr">
        <is>
          <t>zhuānglóngzhuāngyǎ</t>
        </is>
      </c>
      <c r="D3012" s="0" t="inlineStr">
        <is>
          <t>假装听不见、说不出，故意不理</t>
        </is>
      </c>
      <c r="E3012" s="0" t="inlineStr">
        <is>
          <t>giả câm giả điếc</t>
        </is>
      </c>
      <c r="F3012" s="0" t="inlineStr">
        <is>
          <t>同事之间闹矛盾的时候，我一般装聋装哑，不想卷进去。</t>
        </is>
      </c>
      <c r="G3012" s="0" t="inlineStr"/>
      <c r="H3012" s="0" t="inlineStr"/>
    </row>
    <row r="3013">
      <c r="A3013" s="0" t="inlineStr">
        <is>
          <t>Bài 29</t>
        </is>
      </c>
      <c r="B3013" s="0" t="inlineStr">
        <is>
          <t>画蛇添足</t>
        </is>
      </c>
      <c r="C3013" s="0" t="inlineStr">
        <is>
          <t>huàshétiānzú</t>
        </is>
      </c>
      <c r="D3013" s="0" t="inlineStr">
        <is>
          <t>做多余的事，反而把事情弄坏</t>
        </is>
      </c>
      <c r="E3013" s="0" t="inlineStr">
        <is>
          <t>vẽ rắn thêm chân (làm thừa hỏng việc)</t>
        </is>
      </c>
      <c r="F3013" s="0" t="inlineStr">
        <is>
          <t>这篇作文本来写得挺好，你再加那句反而画蛇添足了。</t>
        </is>
      </c>
      <c r="G3013" s="0" t="inlineStr"/>
      <c r="H3013" s="0" t="inlineStr"/>
    </row>
    <row r="3014">
      <c r="A3014" s="0" t="inlineStr">
        <is>
          <t>Bài 29</t>
        </is>
      </c>
      <c r="B3014" s="0" t="inlineStr">
        <is>
          <t>机灵</t>
        </is>
      </c>
      <c r="C3014" s="0" t="inlineStr">
        <is>
          <t>jīling</t>
        </is>
      </c>
      <c r="D3014" s="0" t="inlineStr">
        <is>
          <t>聪明，反应很快</t>
        </is>
      </c>
      <c r="E3014" s="0" t="inlineStr">
        <is>
          <t>nhanh trí, lanh lợi</t>
        </is>
      </c>
      <c r="F3014" s="0" t="inlineStr">
        <is>
          <t>我班上有个学生特别机灵，一点就通。</t>
        </is>
      </c>
      <c r="G3014" s="0" t="inlineStr"/>
      <c r="H3014" s="0" t="inlineStr"/>
    </row>
    <row r="3015">
      <c r="A3015" s="0" t="inlineStr">
        <is>
          <t>Bài 29</t>
        </is>
      </c>
      <c r="B3015" s="0" t="inlineStr">
        <is>
          <t>肆无忌惮</t>
        </is>
      </c>
      <c r="C3015" s="0" t="inlineStr">
        <is>
          <t>sìwújìdàn</t>
        </is>
      </c>
      <c r="D3015" s="0" t="inlineStr">
        <is>
          <t>一点也不怕、不顾忌，任意妄为</t>
        </is>
      </c>
      <c r="E3015" s="0" t="inlineStr">
        <is>
          <t>ngang nhiên, không kiêng nể gì</t>
        </is>
      </c>
      <c r="F3015" s="0" t="inlineStr">
        <is>
          <t>楼上的孩子晚上还肆无忌惮地跑来跑去，吵得我没法背书。</t>
        </is>
      </c>
      <c r="G3015" s="0" t="inlineStr"/>
      <c r="H3015" s="0" t="inlineStr"/>
    </row>
    <row r="3016">
      <c r="A3016" s="0" t="inlineStr">
        <is>
          <t>Bài 29</t>
        </is>
      </c>
      <c r="B3016" s="0" t="inlineStr">
        <is>
          <t>损坏</t>
        </is>
      </c>
      <c r="C3016" s="0" t="inlineStr">
        <is>
          <t>sǔnhuài</t>
        </is>
      </c>
      <c r="D3016" s="0" t="inlineStr">
        <is>
          <t>使东西受到破坏、变坏</t>
        </is>
      </c>
      <c r="E3016" s="0" t="inlineStr">
        <is>
          <t>làm hỏng, hư hại</t>
        </is>
      </c>
      <c r="F3016" s="0" t="inlineStr">
        <is>
          <t>电脑突然损坏，我存的备考资料差点全丢了。</t>
        </is>
      </c>
      <c r="G3016" s="0" t="inlineStr"/>
      <c r="H3016" s="0" t="inlineStr"/>
    </row>
    <row r="3017">
      <c r="A3017" s="0" t="inlineStr">
        <is>
          <t>Bài 29</t>
        </is>
      </c>
      <c r="B3017" s="0" t="inlineStr">
        <is>
          <t>倾向</t>
        </is>
      </c>
      <c r="C3017" s="0" t="inlineStr">
        <is>
          <t>qīngxiàng</t>
        </is>
      </c>
      <c r="D3017" s="0" t="inlineStr">
        <is>
          <t>更喜欢、更赞成某一方</t>
        </is>
      </c>
      <c r="E3017" s="0" t="inlineStr">
        <is>
          <t>nghiêng về, xu hướng</t>
        </is>
      </c>
      <c r="F3017" s="0" t="inlineStr">
        <is>
          <t>选教材时，我更倾向于例句实用、贴近生活的那一套。</t>
        </is>
      </c>
      <c r="G3017" s="0" t="inlineStr"/>
      <c r="H3017" s="0" t="inlineStr"/>
    </row>
    <row r="3018">
      <c r="A3018" s="0" t="inlineStr">
        <is>
          <t>Bài 29</t>
        </is>
      </c>
      <c r="B3018" s="0" t="inlineStr">
        <is>
          <t>试验</t>
        </is>
      </c>
      <c r="C3018" s="0" t="inlineStr">
        <is>
          <t>shìyàn</t>
        </is>
      </c>
      <c r="D3018" s="0" t="inlineStr">
        <is>
          <t>为了了解结果而进行的尝试</t>
        </is>
      </c>
      <c r="E3018" s="0" t="inlineStr">
        <is>
          <t>thử nghiệm</t>
        </is>
      </c>
      <c r="F3018" s="0" t="inlineStr">
        <is>
          <t>我打算试验一种新的背单词方法，看看效果怎么样。</t>
        </is>
      </c>
      <c r="G3018" s="0" t="inlineStr"/>
      <c r="H3018" s="0" t="inlineStr"/>
    </row>
    <row r="3019">
      <c r="A3019" s="0" t="inlineStr">
        <is>
          <t>Bài 29</t>
        </is>
      </c>
      <c r="B3019" s="0" t="inlineStr">
        <is>
          <t>脂肪</t>
        </is>
      </c>
      <c r="C3019" s="0" t="inlineStr">
        <is>
          <t>zhīfáng</t>
        </is>
      </c>
      <c r="D3019" s="0" t="inlineStr">
        <is>
          <t>动物或人体内的油，肥肉部分</t>
        </is>
      </c>
      <c r="E3019" s="0" t="inlineStr">
        <is>
          <t>mỡ, chất béo</t>
        </is>
      </c>
      <c r="F3019" s="0" t="inlineStr">
        <is>
          <t>医生说我得多运动，少囤点脂肪。</t>
        </is>
      </c>
      <c r="G3019" s="0" t="inlineStr"/>
      <c r="H3019" s="0" t="inlineStr"/>
    </row>
    <row r="3020">
      <c r="A3020" s="0" t="inlineStr">
        <is>
          <t>Bài 29</t>
        </is>
      </c>
      <c r="B3020" s="0" t="inlineStr">
        <is>
          <t>动脉</t>
        </is>
      </c>
      <c r="C3020" s="0" t="inlineStr">
        <is>
          <t>dòngmài</t>
        </is>
      </c>
      <c r="D3020" s="0" t="inlineStr">
        <is>
          <t>把血从心脏送到全身的血管</t>
        </is>
      </c>
      <c r="E3020" s="0" t="inlineStr">
        <is>
          <t>động mạch</t>
        </is>
      </c>
      <c r="F3020" s="0" t="inlineStr">
        <is>
          <t>我常跟学生说，语法就像句子的动脉，决定整句话通不通。</t>
        </is>
      </c>
      <c r="G3020" s="0" t="inlineStr"/>
      <c r="H3020" s="0" t="inlineStr"/>
    </row>
    <row r="3021">
      <c r="A3021" s="0" t="inlineStr">
        <is>
          <t>Bài 29</t>
        </is>
      </c>
      <c r="B3021" s="0" t="inlineStr">
        <is>
          <t>实质</t>
        </is>
      </c>
      <c r="C3021" s="0" t="inlineStr">
        <is>
          <t>shízhì</t>
        </is>
      </c>
      <c r="D3021" s="0" t="inlineStr">
        <is>
          <t>事物真正的、本质的内容</t>
        </is>
      </c>
      <c r="E3021" s="0" t="inlineStr">
        <is>
          <t>thực chất, bản chất</t>
        </is>
      </c>
      <c r="F3021" s="0" t="inlineStr">
        <is>
          <t>学语言的实质不是背了多少词，而是能不能真正用出来。</t>
        </is>
      </c>
      <c r="G3021" s="0" t="inlineStr"/>
      <c r="H3021" s="0" t="inlineStr"/>
    </row>
    <row r="3022">
      <c r="A3022" s="0" t="inlineStr">
        <is>
          <t>Bài 29</t>
        </is>
      </c>
      <c r="B3022" s="0" t="inlineStr">
        <is>
          <t>周密</t>
        </is>
      </c>
      <c r="C3022" s="0" t="inlineStr">
        <is>
          <t>zhōumì</t>
        </is>
      </c>
      <c r="D3022" s="0" t="inlineStr">
        <is>
          <t>考虑得很全面很细致，没有漏洞</t>
        </is>
      </c>
      <c r="E3022" s="0" t="inlineStr">
        <is>
          <t>chu đáo, kỹ lưỡng</t>
        </is>
      </c>
      <c r="F3022" s="0" t="inlineStr">
        <is>
          <t>考前我做了一个很周密的复习计划，每天学什么都排好了。</t>
        </is>
      </c>
      <c r="G3022" s="0" t="inlineStr"/>
      <c r="H3022" s="0" t="inlineStr"/>
    </row>
    <row r="3023">
      <c r="A3023" s="0" t="inlineStr">
        <is>
          <t>Bài 29</t>
        </is>
      </c>
      <c r="B3023" s="0" t="inlineStr">
        <is>
          <t>途径</t>
        </is>
      </c>
      <c r="C3023" s="0" t="inlineStr">
        <is>
          <t>tújìng</t>
        </is>
      </c>
      <c r="D3023" s="0" t="inlineStr">
        <is>
          <t>达到目的的方法、门路</t>
        </is>
      </c>
      <c r="E3023" s="0" t="inlineStr">
        <is>
          <t>con đường, phương thức</t>
        </is>
      </c>
      <c r="F3023" s="0" t="inlineStr">
        <is>
          <t>多跟中国同事聊天，是我提高口语最有效的途径。</t>
        </is>
      </c>
      <c r="G3023" s="0" t="inlineStr"/>
      <c r="H3023" s="0" t="inlineStr"/>
    </row>
    <row r="3024">
      <c r="A3024" s="0" t="inlineStr">
        <is>
          <t>Bài 29</t>
        </is>
      </c>
      <c r="B3024" s="0" t="inlineStr">
        <is>
          <t>虚假</t>
        </is>
      </c>
      <c r="C3024" s="0" t="inlineStr">
        <is>
          <t>xūjiǎ</t>
        </is>
      </c>
      <c r="D3024" s="0" t="inlineStr">
        <is>
          <t>不真实，假的</t>
        </is>
      </c>
      <c r="E3024" s="0" t="inlineStr">
        <is>
          <t>giả, không thật</t>
        </is>
      </c>
      <c r="F3024" s="0" t="inlineStr">
        <is>
          <t>网上很多“三个月过HSK6”的广告都很虚假。</t>
        </is>
      </c>
      <c r="G3024" s="0" t="inlineStr"/>
      <c r="H3024" s="0" t="inlineStr"/>
    </row>
    <row r="3025">
      <c r="A3025" s="0" t="inlineStr">
        <is>
          <t>Bài 29</t>
        </is>
      </c>
      <c r="B3025" s="0" t="inlineStr">
        <is>
          <t>意向</t>
        </is>
      </c>
      <c r="C3025" s="0" t="inlineStr">
        <is>
          <t>yìxiàng</t>
        </is>
      </c>
      <c r="D3025" s="0" t="inlineStr">
        <is>
          <t>心里打算做某事的想法</t>
        </is>
      </c>
      <c r="E3025" s="0" t="inlineStr">
        <is>
          <t>ý định, ý hướng</t>
        </is>
      </c>
      <c r="F3025" s="0" t="inlineStr">
        <is>
          <t>我跟中心表达了想多带几节口语课的意向。</t>
        </is>
      </c>
      <c r="G3025" s="0" t="inlineStr"/>
      <c r="H3025" s="0" t="inlineStr"/>
    </row>
    <row r="3026">
      <c r="A3026" s="0" t="inlineStr">
        <is>
          <t>Bài 29</t>
        </is>
      </c>
      <c r="B3026" s="0" t="inlineStr">
        <is>
          <t>一丝不苟</t>
        </is>
      </c>
      <c r="C3026" s="0" t="inlineStr">
        <is>
          <t>yìsībùgǒu</t>
        </is>
      </c>
      <c r="D3026" s="0" t="inlineStr">
        <is>
          <t>做事非常认真，一点也不马虎</t>
        </is>
      </c>
      <c r="E3026" s="0" t="inlineStr">
        <is>
          <t>tỉ mỉ, không cẩu thả chút nào</t>
        </is>
      </c>
      <c r="F3026" s="0" t="inlineStr">
        <is>
          <t>批改学生作业时，我总是一丝不苟，连一个标点都不放过。</t>
        </is>
      </c>
      <c r="G3026" s="0" t="inlineStr"/>
      <c r="H3026" s="0" t="inlineStr"/>
    </row>
    <row r="3027">
      <c r="A3027" s="0" t="inlineStr">
        <is>
          <t>Bài 29</t>
        </is>
      </c>
      <c r="B3027" s="0" t="inlineStr">
        <is>
          <t>收益</t>
        </is>
      </c>
      <c r="C3027" s="0" t="inlineStr">
        <is>
          <t>shōuyì</t>
        </is>
      </c>
      <c r="D3027" s="0" t="inlineStr">
        <is>
          <t>得到的好处或利润</t>
        </is>
      </c>
      <c r="E3027" s="0" t="inlineStr">
        <is>
          <t>lợi ích/lợi nhuận thu về</t>
        </is>
      </c>
      <c r="F3027" s="0" t="inlineStr">
        <is>
          <t>每天坚持学两小时，时间一长，收益特别明显。</t>
        </is>
      </c>
      <c r="G3027" s="0" t="inlineStr"/>
      <c r="H3027" s="0" t="inlineStr"/>
    </row>
    <row r="3028">
      <c r="A3028" s="0" t="inlineStr">
        <is>
          <t>Bài 29</t>
        </is>
      </c>
      <c r="B3028" s="0" t="inlineStr">
        <is>
          <t>恰当</t>
        </is>
      </c>
      <c r="C3028" s="0" t="inlineStr">
        <is>
          <t>qiàdàng</t>
        </is>
      </c>
      <c r="D3028" s="0" t="inlineStr">
        <is>
          <t>正合适，不多不少</t>
        </is>
      </c>
      <c r="E3028" s="0" t="inlineStr">
        <is>
          <t>thích đáng, thỏa đáng</t>
        </is>
      </c>
      <c r="F3028" s="0" t="inlineStr">
        <is>
          <t>用词是否恰当，往往决定一篇HSK作文的分数。</t>
        </is>
      </c>
      <c r="G3028" s="0" t="inlineStr"/>
      <c r="H3028" s="0" t="inlineStr"/>
    </row>
    <row r="3029">
      <c r="A3029" s="0" t="inlineStr">
        <is>
          <t>Bài 29</t>
        </is>
      </c>
      <c r="B3029" s="0" t="inlineStr">
        <is>
          <t>特定</t>
        </is>
      </c>
      <c r="C3029" s="0" t="inlineStr">
        <is>
          <t>tèdìng</t>
        </is>
      </c>
      <c r="D3029" s="0" t="inlineStr">
        <is>
          <t>特别指定的，某一个固定的</t>
        </is>
      </c>
      <c r="E3029" s="0" t="inlineStr">
        <is>
          <t>đặc định, nhất định</t>
        </is>
      </c>
      <c r="F3029" s="0" t="inlineStr">
        <is>
          <t>有些词只在特定场合才用，用错了会显得很奇怪。</t>
        </is>
      </c>
      <c r="G3029" s="0" t="inlineStr"/>
      <c r="H3029" s="0" t="inlineStr"/>
    </row>
    <row r="3030">
      <c r="A3030" s="0" t="inlineStr">
        <is>
          <t>Bài 29</t>
        </is>
      </c>
      <c r="B3030" s="0" t="inlineStr">
        <is>
          <t>缘故</t>
        </is>
      </c>
      <c r="C3030" s="0" t="inlineStr">
        <is>
          <t>yuángù</t>
        </is>
      </c>
      <c r="D3030" s="0" t="inlineStr">
        <is>
          <t>原因</t>
        </is>
      </c>
      <c r="E3030" s="0" t="inlineStr">
        <is>
          <t>nguyên cớ, lý do</t>
        </is>
      </c>
      <c r="F3030" s="0" t="inlineStr">
        <is>
          <t>不知什么缘故，这几个生词我怎么背都记不住。</t>
        </is>
      </c>
      <c r="G3030" s="0" t="inlineStr"/>
      <c r="H3030" s="0" t="inlineStr"/>
    </row>
    <row r="3031">
      <c r="A3031" s="0" t="inlineStr">
        <is>
          <t>Bài 29</t>
        </is>
      </c>
      <c r="B3031" s="0" t="inlineStr">
        <is>
          <t>诚挚</t>
        </is>
      </c>
      <c r="C3031" s="0" t="inlineStr">
        <is>
          <t>chéngzhì</t>
        </is>
      </c>
      <c r="D3031" s="0" t="inlineStr">
        <is>
          <t>真诚而恳切</t>
        </is>
      </c>
      <c r="E3031" s="0" t="inlineStr">
        <is>
          <t>chân thành, thành khẩn</t>
        </is>
      </c>
      <c r="F3031" s="0" t="inlineStr">
        <is>
          <t>学生毕业时给我写了一段很诚挚的话，我特别感动。</t>
        </is>
      </c>
      <c r="G3031" s="0" t="inlineStr"/>
      <c r="H3031" s="0" t="inlineStr"/>
    </row>
    <row r="3032">
      <c r="A3032" s="0" t="inlineStr">
        <is>
          <t>Bài 29</t>
        </is>
      </c>
      <c r="B3032" s="0" t="inlineStr">
        <is>
          <t>倾听</t>
        </is>
      </c>
      <c r="C3032" s="0" t="inlineStr">
        <is>
          <t>qīngtīng</t>
        </is>
      </c>
      <c r="D3032" s="0" t="inlineStr">
        <is>
          <t>认真、用心地听别人说</t>
        </is>
      </c>
      <c r="E3032" s="0" t="inlineStr">
        <is>
          <t>lắng nghe</t>
        </is>
      </c>
      <c r="F3032" s="0" t="inlineStr">
        <is>
          <t>教低年级的孩子，耐心倾听有时比急着纠错更重要。</t>
        </is>
      </c>
      <c r="G3032" s="0" t="inlineStr"/>
      <c r="H3032" s="0" t="inlineStr"/>
    </row>
    <row r="3033">
      <c r="A3033" s="0" t="inlineStr">
        <is>
          <t>Bài 29</t>
        </is>
      </c>
      <c r="B3033" s="0" t="inlineStr">
        <is>
          <t>视频</t>
        </is>
      </c>
      <c r="C3033" s="0" t="inlineStr">
        <is>
          <t>shìpín</t>
        </is>
      </c>
      <c r="D3033" s="0" t="inlineStr">
        <is>
          <t>能看到画面的影像</t>
        </is>
      </c>
      <c r="E3033" s="0" t="inlineStr">
        <is>
          <t>video, đoạn phim</t>
        </is>
      </c>
      <c r="F3033" s="0" t="inlineStr">
        <is>
          <t>每天早上我都会看一段中文视频来练听力。</t>
        </is>
      </c>
      <c r="G3033" s="0" t="inlineStr"/>
      <c r="H3033" s="0" t="inlineStr"/>
    </row>
    <row r="3034">
      <c r="A3034" s="0" t="inlineStr">
        <is>
          <t>Bài 29</t>
        </is>
      </c>
      <c r="B3034" s="0" t="inlineStr">
        <is>
          <t>一目了然</t>
        </is>
      </c>
      <c r="C3034" s="0" t="inlineStr">
        <is>
          <t>yímùliǎorán</t>
        </is>
      </c>
      <c r="D3034" s="0" t="inlineStr">
        <is>
          <t>一眼就能看清楚</t>
        </is>
      </c>
      <c r="E3034" s="0" t="inlineStr">
        <is>
          <t>nhìn là hiểu ngay, rõ mồn một</t>
        </is>
      </c>
      <c r="F3034" s="0" t="inlineStr">
        <is>
          <t>我把语法做成表格，学生一看就一目了然。</t>
        </is>
      </c>
      <c r="G3034" s="0" t="inlineStr"/>
      <c r="H3034" s="0" t="inlineStr"/>
    </row>
    <row r="3035">
      <c r="A3035" s="0" t="inlineStr">
        <is>
          <t>Bài 29</t>
        </is>
      </c>
      <c r="B3035" s="0" t="inlineStr">
        <is>
          <t>提炼</t>
        </is>
      </c>
      <c r="C3035" s="0" t="inlineStr">
        <is>
          <t>tíliàn</t>
        </is>
      </c>
      <c r="D3035" s="0" t="inlineStr">
        <is>
          <t>从原料里提取有用的东西；使更精纯</t>
        </is>
      </c>
      <c r="E3035" s="0" t="inlineStr">
        <is>
          <t>chiết luyện, chắt lọc</t>
        </is>
      </c>
      <c r="F3035" s="0" t="inlineStr">
        <is>
          <t>读完一篇文章，我会试着把重点提炼成几句话。</t>
        </is>
      </c>
      <c r="G3035" s="0" t="inlineStr"/>
      <c r="H3035" s="0" t="inlineStr"/>
    </row>
    <row r="3036">
      <c r="A3036" s="0" t="inlineStr">
        <is>
          <t>Bài 29</t>
        </is>
      </c>
      <c r="B3036" s="0" t="inlineStr">
        <is>
          <t>探测</t>
        </is>
      </c>
      <c r="C3036" s="0" t="inlineStr">
        <is>
          <t>tàncè</t>
        </is>
      </c>
      <c r="D3036" s="0" t="inlineStr">
        <is>
          <t>用仪器去测量、察看看不见的东西</t>
        </is>
      </c>
      <c r="E3036" s="0" t="inlineStr">
        <is>
          <t>thăm dò, dò tìm</t>
        </is>
      </c>
      <c r="F3036" s="0" t="inlineStr">
        <is>
          <t>上课前我常先探测一下学生已经掌握到什么程度。</t>
        </is>
      </c>
      <c r="G3036" s="0" t="inlineStr"/>
      <c r="H3036" s="0" t="inlineStr"/>
    </row>
    <row r="3037">
      <c r="A3037" s="0" t="inlineStr">
        <is>
          <t>Bài 29</t>
        </is>
      </c>
      <c r="B3037" s="0" t="inlineStr">
        <is>
          <t>智商</t>
        </is>
      </c>
      <c r="C3037" s="0" t="inlineStr">
        <is>
          <t>zhìshāng</t>
        </is>
      </c>
      <c r="D3037" s="0" t="inlineStr">
        <is>
          <t>衡量聪明程度的指数（IQ）</t>
        </is>
      </c>
      <c r="E3037" s="0" t="inlineStr">
        <is>
          <t>chỉ số thông minh (IQ)</t>
        </is>
      </c>
      <c r="F3037" s="0" t="inlineStr">
        <is>
          <t>学好一门语言靠的不是高智商，而是每天的坚持。</t>
        </is>
      </c>
      <c r="G3037" s="0" t="inlineStr"/>
      <c r="H3037" s="0" t="inlineStr"/>
    </row>
    <row r="3038">
      <c r="A3038" s="0" t="inlineStr">
        <is>
          <t>Bài 29</t>
        </is>
      </c>
      <c r="B3038" s="0" t="inlineStr">
        <is>
          <t>探讨</t>
        </is>
      </c>
      <c r="C3038" s="0" t="inlineStr">
        <is>
          <t>tàntǎo</t>
        </is>
      </c>
      <c r="D3038" s="0" t="inlineStr">
        <is>
          <t>一起研究、讨论问题</t>
        </is>
      </c>
      <c r="E3038" s="0" t="inlineStr">
        <is>
          <t>thảo luận, tìm tòi</t>
        </is>
      </c>
      <c r="F3038" s="0" t="inlineStr">
        <is>
          <t>我常跟同事一起探讨怎么把课上得更有意思。</t>
        </is>
      </c>
      <c r="G3038" s="0" t="inlineStr"/>
      <c r="H3038" s="0" t="inlineStr"/>
    </row>
    <row r="3039">
      <c r="A3039" s="0" t="inlineStr">
        <is>
          <t>Bài 29</t>
        </is>
      </c>
      <c r="B3039" s="0" t="inlineStr">
        <is>
          <t>分寸</t>
        </is>
      </c>
      <c r="C3039" s="0" t="inlineStr">
        <is>
          <t>fēncun</t>
        </is>
      </c>
      <c r="D3039" s="0" t="inlineStr">
        <is>
          <t>说话做事的适当程度、界限</t>
        </is>
      </c>
      <c r="E3039" s="0" t="inlineStr">
        <is>
          <t>chừng mực, mức độ phải chăng</t>
        </is>
      </c>
      <c r="F3039" s="0" t="inlineStr">
        <is>
          <t>纠正学生发音的时候也要讲分寸，不能太打击他们。</t>
        </is>
      </c>
      <c r="G3039" s="0" t="inlineStr"/>
      <c r="H3039" s="0" t="inlineStr"/>
    </row>
    <row r="3040">
      <c r="A3040" s="0" t="inlineStr">
        <is>
          <t>Bài 29</t>
        </is>
      </c>
      <c r="B3040" s="0" t="inlineStr">
        <is>
          <t>恰到好处</t>
        </is>
      </c>
      <c r="C3040" s="0" t="inlineStr">
        <is>
          <t>qiàdàohǎochù</t>
        </is>
      </c>
      <c r="D3040" s="0" t="inlineStr">
        <is>
          <t>正好达到最合适的程度</t>
        </is>
      </c>
      <c r="E3040" s="0" t="inlineStr">
        <is>
          <t>vừa vặn, đúng mức</t>
        </is>
      </c>
      <c r="F3040" s="0" t="inlineStr">
        <is>
          <t>好老师提问的难度总是恰到好处，不会太难也不会太简单。</t>
        </is>
      </c>
      <c r="G3040" s="0" t="inlineStr"/>
      <c r="H3040" s="0" t="inlineStr"/>
    </row>
    <row r="3041">
      <c r="A3041" s="0" t="inlineStr">
        <is>
          <t>Bài 29</t>
        </is>
      </c>
      <c r="B3041" s="0" t="inlineStr">
        <is>
          <t>是非</t>
        </is>
      </c>
      <c r="C3041" s="0" t="inlineStr">
        <is>
          <t>shìfēi</t>
        </is>
      </c>
      <c r="D3041" s="0" t="inlineStr">
        <is>
          <t>对和错</t>
        </is>
      </c>
      <c r="E3041" s="0" t="inlineStr">
        <is>
          <t>thị phi, đúng sai</t>
        </is>
      </c>
      <c r="F3041" s="0" t="inlineStr">
        <is>
          <t>办公室里的那些是非我一向不参与，专心做自己的事。</t>
        </is>
      </c>
      <c r="G3041" s="0" t="inlineStr"/>
      <c r="H3041" s="0" t="inlineStr"/>
    </row>
    <row r="3042">
      <c r="A3042" s="0" t="inlineStr">
        <is>
          <t>Bài 29</t>
        </is>
      </c>
      <c r="B3042" s="0" t="inlineStr">
        <is>
          <t>起哄</t>
        </is>
      </c>
      <c r="C3042" s="0" t="inlineStr">
        <is>
          <t>qǐhòng</t>
        </is>
      </c>
      <c r="D3042" s="0" t="inlineStr">
        <is>
          <t>很多人一起吵闹、捣乱</t>
        </is>
      </c>
      <c r="E3042" s="0" t="inlineStr">
        <is>
          <t>hùa theo làm ầm ĩ, la ó</t>
        </is>
      </c>
      <c r="F3042" s="0" t="inlineStr">
        <is>
          <t>学生一起哄，课堂纪律一下子就乱了。</t>
        </is>
      </c>
      <c r="G3042" s="0" t="inlineStr"/>
      <c r="H3042" s="0" t="inlineStr"/>
    </row>
    <row r="3043">
      <c r="A3043" s="0" t="inlineStr">
        <is>
          <t>Bài 30</t>
        </is>
      </c>
      <c r="B3043" s="0" t="inlineStr">
        <is>
          <t>容忍</t>
        </is>
      </c>
      <c r="C3043" s="0" t="inlineStr">
        <is>
          <t>róngrěn</t>
        </is>
      </c>
      <c r="D3043" s="0" t="inlineStr">
        <is>
          <t>宽容忍耐，不计较别人的过错</t>
        </is>
      </c>
      <c r="E3043" s="0" t="inlineStr">
        <is>
          <t>dung thứ, khoan dung</t>
        </is>
      </c>
      <c r="F3043" s="0" t="inlineStr">
        <is>
          <t>备考HSK6压力大，我尽量容忍自己偶尔想偷懒的心情。</t>
        </is>
      </c>
      <c r="G3043" s="0" t="inlineStr"/>
      <c r="H3043" s="0" t="inlineStr"/>
    </row>
    <row r="3044">
      <c r="A3044" s="0" t="inlineStr">
        <is>
          <t>Bài 30</t>
        </is>
      </c>
      <c r="B3044" s="0" t="inlineStr">
        <is>
          <t>蹬</t>
        </is>
      </c>
      <c r="C3044" s="0" t="inlineStr">
        <is>
          <t>dēng</t>
        </is>
      </c>
      <c r="D3044" s="0" t="inlineStr">
        <is>
          <t>用脚用力踩或踏</t>
        </is>
      </c>
      <c r="E3044" s="0" t="inlineStr">
        <is>
          <t>đạp (chân)</t>
        </is>
      </c>
      <c r="F3044" s="0" t="inlineStr">
        <is>
          <t>每天下班我都骑共享单车回家，上坡时得使劲蹬。</t>
        </is>
      </c>
      <c r="G3044" s="0" t="inlineStr"/>
      <c r="H3044" s="0" t="inlineStr"/>
    </row>
    <row r="3045">
      <c r="A3045" s="0" t="inlineStr">
        <is>
          <t>Bài 30</t>
        </is>
      </c>
      <c r="B3045" s="0" t="inlineStr">
        <is>
          <t>拳头</t>
        </is>
      </c>
      <c r="C3045" s="0" t="inlineStr">
        <is>
          <t>quántou</t>
        </is>
      </c>
      <c r="D3045" s="0" t="inlineStr">
        <is>
          <t>手指弯曲合拢握紧的手</t>
        </is>
      </c>
      <c r="E3045" s="0" t="inlineStr">
        <is>
          <t>nắm đấm</t>
        </is>
      </c>
      <c r="F3045" s="0" t="inlineStr">
        <is>
          <t>教HSK1的“手”字时，我握起拳头给小朋友做示范。</t>
        </is>
      </c>
      <c r="G3045" s="0" t="inlineStr"/>
      <c r="H3045" s="0" t="inlineStr"/>
    </row>
    <row r="3046">
      <c r="A3046" s="0" t="inlineStr">
        <is>
          <t>Bài 30</t>
        </is>
      </c>
      <c r="B3046" s="0" t="inlineStr">
        <is>
          <t>不时</t>
        </is>
      </c>
      <c r="C3046" s="0" t="inlineStr">
        <is>
          <t>bùshí</t>
        </is>
      </c>
      <c r="D3046" s="0" t="inlineStr">
        <is>
          <t>时常，一次又一次地（多用于书面）</t>
        </is>
      </c>
      <c r="E3046" s="0" t="inlineStr">
        <is>
          <t>thường xuyên, chốc chốc lại</t>
        </is>
      </c>
      <c r="F3046" s="0" t="inlineStr">
        <is>
          <t>上中文课时，学生不时举手提问，我很喜欢这种气氛。</t>
        </is>
      </c>
      <c r="G3046" s="0" t="inlineStr"/>
      <c r="H3046" s="0" t="inlineStr"/>
    </row>
    <row r="3047">
      <c r="A3047" s="0" t="inlineStr">
        <is>
          <t>Bài 30</t>
        </is>
      </c>
      <c r="B3047" s="0" t="inlineStr">
        <is>
          <t>气色</t>
        </is>
      </c>
      <c r="C3047" s="0" t="inlineStr">
        <is>
          <t>qìsè</t>
        </is>
      </c>
      <c r="D3047" s="0" t="inlineStr">
        <is>
          <t>人脸上表现出来的健康状况</t>
        </is>
      </c>
      <c r="E3047" s="0" t="inlineStr">
        <is>
          <t>sắc mặt, thần sắc</t>
        </is>
      </c>
      <c r="F3047" s="0" t="inlineStr">
        <is>
          <t>昨晚熬夜背单词，今天同事说我气色不太好。</t>
        </is>
      </c>
      <c r="G3047" s="0" t="inlineStr"/>
      <c r="H3047" s="0" t="inlineStr"/>
    </row>
    <row r="3048">
      <c r="A3048" s="0" t="inlineStr">
        <is>
          <t>Bài 30</t>
        </is>
      </c>
      <c r="B3048" s="0" t="inlineStr">
        <is>
          <t>轨道</t>
        </is>
      </c>
      <c r="C3048" s="0" t="inlineStr">
        <is>
          <t>guǐdào</t>
        </is>
      </c>
      <c r="D3048" s="0" t="inlineStr">
        <is>
          <t>火车、地铁行驶的路线；也比喻正常发展的路子</t>
        </is>
      </c>
      <c r="E3048" s="0" t="inlineStr">
        <is>
          <t>đường ray; quỹ đạo</t>
        </is>
      </c>
      <c r="F3048" s="0" t="inlineStr">
        <is>
          <t>备考计划乱了一阵，现在又回到了正常轨道。</t>
        </is>
      </c>
      <c r="G3048" s="0" t="inlineStr"/>
      <c r="H3048" s="0" t="inlineStr"/>
    </row>
    <row r="3049">
      <c r="A3049" s="0" t="inlineStr">
        <is>
          <t>Bài 30</t>
        </is>
      </c>
      <c r="B3049" s="0" t="inlineStr">
        <is>
          <t>酒精</t>
        </is>
      </c>
      <c r="C3049" s="0" t="inlineStr">
        <is>
          <t>jiǔjīng</t>
        </is>
      </c>
      <c r="D3049" s="0" t="inlineStr">
        <is>
          <t>酒里能使人醉的成分</t>
        </is>
      </c>
      <c r="E3049" s="0" t="inlineStr">
        <is>
          <t>cồn, chất cồn (trong rượu)</t>
        </is>
      </c>
      <c r="F3049" s="0" t="inlineStr">
        <is>
          <t>在中国跟同事聚餐时，我一般不喝酒精含量高的白酒。</t>
        </is>
      </c>
      <c r="G3049" s="0" t="inlineStr"/>
      <c r="H3049" s="0" t="inlineStr"/>
    </row>
    <row r="3050">
      <c r="A3050" s="0" t="inlineStr">
        <is>
          <t>Bài 30</t>
        </is>
      </c>
      <c r="B3050" s="0" t="inlineStr">
        <is>
          <t>竭尽全力</t>
        </is>
      </c>
      <c r="C3050" s="0" t="inlineStr">
        <is>
          <t>jiéjìn quánlì</t>
        </is>
      </c>
      <c r="D3050" s="0" t="inlineStr">
        <is>
          <t>用尽全部的力量</t>
        </is>
      </c>
      <c r="E3050" s="0" t="inlineStr">
        <is>
          <t>dốc hết sức, gắng hết sức</t>
        </is>
      </c>
      <c r="F3050" s="0" t="inlineStr">
        <is>
          <t>为了HSKK拿高分，我竭尽全力每天练口语。</t>
        </is>
      </c>
      <c r="G3050" s="0" t="inlineStr"/>
      <c r="H3050" s="0" t="inlineStr"/>
    </row>
    <row r="3051">
      <c r="A3051" s="0" t="inlineStr">
        <is>
          <t>Bài 30</t>
        </is>
      </c>
      <c r="B3051" s="0" t="inlineStr">
        <is>
          <t>根源</t>
        </is>
      </c>
      <c r="C3051" s="0" t="inlineStr">
        <is>
          <t>gēnyuán</t>
        </is>
      </c>
      <c r="D3051" s="0" t="inlineStr">
        <is>
          <t>事情产生的根本原因</t>
        </is>
      </c>
      <c r="E3051" s="0" t="inlineStr">
        <is>
          <t>nguồn gốc, căn nguyên</t>
        </is>
      </c>
      <c r="F3051" s="0" t="inlineStr">
        <is>
          <t>我发现自己听力差的根源是平时听得太少。</t>
        </is>
      </c>
      <c r="G3051" s="0" t="inlineStr"/>
      <c r="H3051" s="0" t="inlineStr"/>
    </row>
    <row r="3052">
      <c r="A3052" s="0" t="inlineStr">
        <is>
          <t>Bài 30</t>
        </is>
      </c>
      <c r="B3052" s="0" t="inlineStr">
        <is>
          <t>对付</t>
        </is>
      </c>
      <c r="C3052" s="0" t="inlineStr">
        <is>
          <t>duìfu</t>
        </is>
      </c>
      <c r="D3052" s="0" t="inlineStr">
        <is>
          <t>想办法处理人或事情</t>
        </is>
      </c>
      <c r="E3052" s="0" t="inlineStr">
        <is>
          <t>đối phó, ứng phó</t>
        </is>
      </c>
      <c r="F3052" s="0" t="inlineStr">
        <is>
          <t>遇到不会做的HSK6阅读题，我有一套自己对付的办法。</t>
        </is>
      </c>
      <c r="G3052" s="0" t="inlineStr"/>
      <c r="H3052" s="0" t="inlineStr"/>
    </row>
    <row r="3053">
      <c r="A3053" s="0" t="inlineStr">
        <is>
          <t>Bài 30</t>
        </is>
      </c>
      <c r="B3053" s="0" t="inlineStr">
        <is>
          <t>纠正</t>
        </is>
      </c>
      <c r="C3053" s="0" t="inlineStr">
        <is>
          <t>jiūzhèng</t>
        </is>
      </c>
      <c r="D3053" s="0" t="inlineStr">
        <is>
          <t>改正错误</t>
        </is>
      </c>
      <c r="E3053" s="0" t="inlineStr">
        <is>
          <t>sửa chữa, uốn nắn</t>
        </is>
      </c>
      <c r="F3053" s="0" t="inlineStr">
        <is>
          <t>上课时我会及时纠正学生的发音错误。</t>
        </is>
      </c>
      <c r="G3053" s="0" t="inlineStr"/>
      <c r="H3053" s="0" t="inlineStr"/>
    </row>
    <row r="3054">
      <c r="A3054" s="0" t="inlineStr">
        <is>
          <t>Bài 30</t>
        </is>
      </c>
      <c r="B3054" s="0" t="inlineStr">
        <is>
          <t>糟蹋</t>
        </is>
      </c>
      <c r="C3054" s="0" t="inlineStr">
        <is>
          <t>zāotà</t>
        </is>
      </c>
      <c r="D3054" s="0" t="inlineStr">
        <is>
          <t>浪费或随意损坏（东西、身体等）</t>
        </is>
      </c>
      <c r="E3054" s="0" t="inlineStr">
        <is>
          <t>phí phạm, tàn phá</t>
        </is>
      </c>
      <c r="F3054" s="0" t="inlineStr">
        <is>
          <t>经常熬夜其实就是在糟蹋自己的身体。</t>
        </is>
      </c>
      <c r="G3054" s="0" t="inlineStr"/>
      <c r="H3054" s="0" t="inlineStr"/>
    </row>
    <row r="3055">
      <c r="A3055" s="0" t="inlineStr">
        <is>
          <t>Bài 30</t>
        </is>
      </c>
      <c r="B3055" s="0" t="inlineStr">
        <is>
          <t>迫害</t>
        </is>
      </c>
      <c r="C3055" s="0" t="inlineStr">
        <is>
          <t>pòhài</t>
        </is>
      </c>
      <c r="D3055" s="0" t="inlineStr">
        <is>
          <t>用暴力或权势残酷地压迫、伤害</t>
        </is>
      </c>
      <c r="E3055" s="0" t="inlineStr">
        <is>
          <t>bức hại</t>
        </is>
      </c>
      <c r="F3055" s="0" t="inlineStr">
        <is>
          <t>这部纪录片讲的是战争年代很多人遭到迫害的故事。</t>
        </is>
      </c>
      <c r="G3055" s="0" t="inlineStr"/>
      <c r="H3055" s="0" t="inlineStr"/>
    </row>
    <row r="3056">
      <c r="A3056" s="0" t="inlineStr">
        <is>
          <t>Bài 30</t>
        </is>
      </c>
      <c r="B3056" s="0" t="inlineStr">
        <is>
          <t>毁灭</t>
        </is>
      </c>
      <c r="C3056" s="0" t="inlineStr">
        <is>
          <t>huǐmiè</t>
        </is>
      </c>
      <c r="D3056" s="0" t="inlineStr">
        <is>
          <t>彻底摧毁，使不再存在</t>
        </is>
      </c>
      <c r="E3056" s="0" t="inlineStr">
        <is>
          <t>hủy diệt, phá hủy</t>
        </is>
      </c>
      <c r="F3056" s="0" t="inlineStr">
        <is>
          <t>坏习惯会一点一点毁灭一个人的健康。</t>
        </is>
      </c>
      <c r="G3056" s="0" t="inlineStr"/>
      <c r="H3056" s="0" t="inlineStr"/>
    </row>
    <row r="3057">
      <c r="A3057" s="0" t="inlineStr">
        <is>
          <t>Bài 30</t>
        </is>
      </c>
      <c r="B3057" s="0" t="inlineStr">
        <is>
          <t>惯例</t>
        </is>
      </c>
      <c r="C3057" s="0" t="inlineStr">
        <is>
          <t>guànlì</t>
        </is>
      </c>
      <c r="D3057" s="0" t="inlineStr">
        <is>
          <t>一向的做法，习惯上的规矩</t>
        </is>
      </c>
      <c r="E3057" s="0" t="inlineStr">
        <is>
          <t>thông lệ, lệ thường</t>
        </is>
      </c>
      <c r="F3057" s="0" t="inlineStr">
        <is>
          <t>按照惯例，我每天早上先复习昨天学的生词。</t>
        </is>
      </c>
      <c r="G3057" s="0" t="inlineStr"/>
      <c r="H3057" s="0" t="inlineStr"/>
    </row>
    <row r="3058">
      <c r="A3058" s="0" t="inlineStr">
        <is>
          <t>Bài 30</t>
        </is>
      </c>
      <c r="B3058" s="0" t="inlineStr">
        <is>
          <t>顽固</t>
        </is>
      </c>
      <c r="C3058" s="0" t="inlineStr">
        <is>
          <t>wángù</t>
        </is>
      </c>
      <c r="D3058" s="0" t="inlineStr">
        <is>
          <t>思想保守、不肯改变；（病）难治</t>
        </is>
      </c>
      <c r="E3058" s="0" t="inlineStr">
        <is>
          <t>ngoan cố; dai dẳng (bệnh)</t>
        </is>
      </c>
      <c r="F3058" s="0" t="inlineStr">
        <is>
          <t>我有个顽固的坏习惯，就是睡前老爱看手机。</t>
        </is>
      </c>
      <c r="G3058" s="0" t="inlineStr"/>
      <c r="H3058" s="0" t="inlineStr"/>
    </row>
    <row r="3059">
      <c r="A3059" s="0" t="inlineStr">
        <is>
          <t>Bài 30</t>
        </is>
      </c>
      <c r="B3059" s="0" t="inlineStr">
        <is>
          <t>奢侈</t>
        </is>
      </c>
      <c r="C3059" s="0" t="inlineStr">
        <is>
          <t>shēchǐ</t>
        </is>
      </c>
      <c r="D3059" s="0" t="inlineStr">
        <is>
          <t>花很多钱财追求享受</t>
        </is>
      </c>
      <c r="E3059" s="0" t="inlineStr">
        <is>
          <t>xa xỉ, xa hoa</t>
        </is>
      </c>
      <c r="F3059" s="0" t="inlineStr">
        <is>
          <t>对上班族来说，能睡到自然醒简直是一种奢侈。</t>
        </is>
      </c>
      <c r="G3059" s="0" t="inlineStr"/>
      <c r="H3059" s="0" t="inlineStr"/>
    </row>
    <row r="3060">
      <c r="A3060" s="0" t="inlineStr">
        <is>
          <t>Bài 30</t>
        </is>
      </c>
      <c r="B3060" s="0" t="inlineStr">
        <is>
          <t>指数</t>
        </is>
      </c>
      <c r="C3060" s="0" t="inlineStr">
        <is>
          <t>zhǐshù</t>
        </is>
      </c>
      <c r="D3060" s="0" t="inlineStr">
        <is>
          <t>用来表示某种情况变动的数值</t>
        </is>
      </c>
      <c r="E3060" s="0" t="inlineStr">
        <is>
          <t>chỉ số</t>
        </is>
      </c>
      <c r="F3060" s="0" t="inlineStr">
        <is>
          <t>中国发布的睡眠指数显示很多人睡眠质量不高。</t>
        </is>
      </c>
      <c r="G3060" s="0" t="inlineStr"/>
      <c r="H3060" s="0" t="inlineStr"/>
    </row>
    <row r="3061">
      <c r="A3061" s="0" t="inlineStr">
        <is>
          <t>Bài 30</t>
        </is>
      </c>
      <c r="B3061" s="0" t="inlineStr">
        <is>
          <t>居民</t>
        </is>
      </c>
      <c r="C3061" s="0" t="inlineStr">
        <is>
          <t>jūmín</t>
        </is>
      </c>
      <c r="D3061" s="0" t="inlineStr">
        <is>
          <t>住在某个地方的人</t>
        </is>
      </c>
      <c r="E3061" s="0" t="inlineStr">
        <is>
          <t>cư dân, dân cư</t>
        </is>
      </c>
      <c r="F3061" s="0" t="inlineStr">
        <is>
          <t>我住的小区居民大多是年轻上班族。</t>
        </is>
      </c>
      <c r="G3061" s="0" t="inlineStr"/>
      <c r="H3061" s="0" t="inlineStr"/>
    </row>
    <row r="3062">
      <c r="A3062" s="0" t="inlineStr">
        <is>
          <t>Bài 30</t>
        </is>
      </c>
      <c r="B3062" s="0" t="inlineStr">
        <is>
          <t>当前</t>
        </is>
      </c>
      <c r="C3062" s="0" t="inlineStr">
        <is>
          <t>dāngqián</t>
        </is>
      </c>
      <c r="D3062" s="0" t="inlineStr">
        <is>
          <t>目前，现在这个时候</t>
        </is>
      </c>
      <c r="E3062" s="0" t="inlineStr">
        <is>
          <t>hiện nay, trước mắt</t>
        </is>
      </c>
      <c r="F3062" s="0" t="inlineStr">
        <is>
          <t>当前我最重要的任务就是顺利通过HSK6。</t>
        </is>
      </c>
      <c r="G3062" s="0" t="inlineStr"/>
      <c r="H3062" s="0" t="inlineStr"/>
    </row>
    <row r="3063">
      <c r="A3063" s="0" t="inlineStr">
        <is>
          <t>Bài 30</t>
        </is>
      </c>
      <c r="B3063" s="0" t="inlineStr">
        <is>
          <t>扰乱</t>
        </is>
      </c>
      <c r="C3063" s="0" t="inlineStr">
        <is>
          <t>rǎoluàn</t>
        </is>
      </c>
      <c r="D3063" s="0" t="inlineStr">
        <is>
          <t>打乱，使变得混乱</t>
        </is>
      </c>
      <c r="E3063" s="0" t="inlineStr">
        <is>
          <t>quấy nhiễu, làm rối loạn</t>
        </is>
      </c>
      <c r="F3063" s="0" t="inlineStr">
        <is>
          <t>睡前刷手机会扰乱我的作息。</t>
        </is>
      </c>
      <c r="G3063" s="0" t="inlineStr"/>
      <c r="H3063" s="0" t="inlineStr"/>
    </row>
    <row r="3064">
      <c r="A3064" s="0" t="inlineStr">
        <is>
          <t>Bài 30</t>
        </is>
      </c>
      <c r="B3064" s="0" t="inlineStr">
        <is>
          <t>折腾</t>
        </is>
      </c>
      <c r="C3064" s="0" t="inlineStr">
        <is>
          <t>zhēteng</t>
        </is>
      </c>
      <c r="D3064" s="0" t="inlineStr">
        <is>
          <t>反复做某事；使身心不得安宁</t>
        </is>
      </c>
      <c r="E3064" s="0" t="inlineStr">
        <is>
          <t>hành hạ; trằn trọc, quần quật</t>
        </is>
      </c>
      <c r="F3064" s="0" t="inlineStr">
        <is>
          <t>昨晚失眠，我在床上翻来覆去折腾了大半夜。</t>
        </is>
      </c>
      <c r="G3064" s="0" t="inlineStr"/>
      <c r="H3064" s="0" t="inlineStr"/>
    </row>
    <row r="3065">
      <c r="A3065" s="0" t="inlineStr">
        <is>
          <t>Bài 30</t>
        </is>
      </c>
      <c r="B3065" s="0" t="inlineStr">
        <is>
          <t>逆行</t>
        </is>
      </c>
      <c r="C3065" s="0" t="inlineStr">
        <is>
          <t>nìxíng</t>
        </is>
      </c>
      <c r="D3065" s="0" t="inlineStr">
        <is>
          <t>朝着跟规定相反的方向行进</t>
        </is>
      </c>
      <c r="E3065" s="0" t="inlineStr">
        <is>
          <t>đi ngược chiều</t>
        </is>
      </c>
      <c r="F3065" s="0" t="inlineStr">
        <is>
          <t>在中国骑车千万不能逆行，太危险了。</t>
        </is>
      </c>
      <c r="G3065" s="0" t="inlineStr"/>
      <c r="H3065" s="0" t="inlineStr"/>
    </row>
    <row r="3066">
      <c r="A3066" s="0" t="inlineStr">
        <is>
          <t>Bài 30</t>
        </is>
      </c>
      <c r="B3066" s="0" t="inlineStr">
        <is>
          <t>茫然</t>
        </is>
      </c>
      <c r="C3066" s="0" t="inlineStr">
        <is>
          <t>mángrán</t>
        </is>
      </c>
      <c r="D3066" s="0" t="inlineStr">
        <is>
          <t>完全不知道，心里没有主意的样子</t>
        </is>
      </c>
      <c r="E3066" s="0" t="inlineStr">
        <is>
          <t>mờ mịt, ngơ ngác</t>
        </is>
      </c>
      <c r="F3066" s="0" t="inlineStr">
        <is>
          <t>刚开始学HSK6语法时，我常常一脸茫然。</t>
        </is>
      </c>
      <c r="G3066" s="0" t="inlineStr"/>
      <c r="H3066" s="0" t="inlineStr"/>
    </row>
    <row r="3067">
      <c r="A3067" s="0" t="inlineStr">
        <is>
          <t>Bài 30</t>
        </is>
      </c>
      <c r="B3067" s="0" t="inlineStr">
        <is>
          <t>丢三落四</t>
        </is>
      </c>
      <c r="C3067" s="0" t="inlineStr">
        <is>
          <t>diūsān-làsì</t>
        </is>
      </c>
      <c r="D3067" s="0" t="inlineStr">
        <is>
          <t>做事马虎，常常有遗漏</t>
        </is>
      </c>
      <c r="E3067" s="0" t="inlineStr">
        <is>
          <t>đầu quên đuôi, hay quên</t>
        </is>
      </c>
      <c r="F3067" s="0" t="inlineStr">
        <is>
          <t>我记性不好，出门总是丢三落四。</t>
        </is>
      </c>
      <c r="G3067" s="0" t="inlineStr"/>
      <c r="H3067" s="0" t="inlineStr"/>
    </row>
    <row r="3068">
      <c r="A3068" s="0" t="inlineStr">
        <is>
          <t>Bài 30</t>
        </is>
      </c>
      <c r="B3068" s="0" t="inlineStr">
        <is>
          <t>起伏</t>
        </is>
      </c>
      <c r="C3068" s="0" t="inlineStr">
        <is>
          <t>qǐfú</t>
        </is>
      </c>
      <c r="D3068" s="0" t="inlineStr">
        <is>
          <t>一起一落；（情绪等）变化不定</t>
        </is>
      </c>
      <c r="E3068" s="0" t="inlineStr">
        <is>
          <t>nhấp nhô; thăng trầm, biến động</t>
        </is>
      </c>
      <c r="F3068" s="0" t="inlineStr">
        <is>
          <t>备考那段时间我情绪起伏很大，一会儿信心满满，一会儿又想放弃。</t>
        </is>
      </c>
      <c r="G3068" s="0" t="inlineStr"/>
      <c r="H3068" s="0" t="inlineStr"/>
    </row>
    <row r="3069">
      <c r="A3069" s="0" t="inlineStr">
        <is>
          <t>Bài 30</t>
        </is>
      </c>
      <c r="B3069" s="0" t="inlineStr">
        <is>
          <t>发呆</t>
        </is>
      </c>
      <c r="C3069" s="0" t="inlineStr">
        <is>
          <t>fādāi</t>
        </is>
      </c>
      <c r="D3069" s="0" t="inlineStr">
        <is>
          <t>因为出神而呆呆地不动</t>
        </is>
      </c>
      <c r="E3069" s="0" t="inlineStr">
        <is>
          <t>thẫn thờ, ngẩn người ra</t>
        </is>
      </c>
      <c r="F3069" s="0" t="inlineStr">
        <is>
          <t>单词背累了，我常常对着窗外发呆。</t>
        </is>
      </c>
      <c r="G3069" s="0" t="inlineStr"/>
      <c r="H3069" s="0" t="inlineStr"/>
    </row>
    <row r="3070">
      <c r="A3070" s="0" t="inlineStr">
        <is>
          <t>Bài 30</t>
        </is>
      </c>
      <c r="B3070" s="0" t="inlineStr">
        <is>
          <t>记性</t>
        </is>
      </c>
      <c r="C3070" s="0" t="inlineStr">
        <is>
          <t>jìxing</t>
        </is>
      </c>
      <c r="D3070" s="0" t="inlineStr">
        <is>
          <t>记忆的能力</t>
        </is>
      </c>
      <c r="E3070" s="0" t="inlineStr">
        <is>
          <t>trí nhớ</t>
        </is>
      </c>
      <c r="F3070" s="0" t="inlineStr">
        <is>
          <t>睡不好觉，我的记性明显变差了。</t>
        </is>
      </c>
      <c r="G3070" s="0" t="inlineStr"/>
      <c r="H3070" s="0" t="inlineStr"/>
    </row>
    <row r="3071">
      <c r="A3071" s="0" t="inlineStr">
        <is>
          <t>Bài 30</t>
        </is>
      </c>
      <c r="B3071" s="0" t="inlineStr">
        <is>
          <t>摧残</t>
        </is>
      </c>
      <c r="C3071" s="0" t="inlineStr">
        <is>
          <t>cuīcán</t>
        </is>
      </c>
      <c r="D3071" s="0" t="inlineStr">
        <is>
          <t>使受到严重的损害</t>
        </is>
      </c>
      <c r="E3071" s="0" t="inlineStr">
        <is>
          <t>tàn phá, dày vò</t>
        </is>
      </c>
      <c r="F3071" s="0" t="inlineStr">
        <is>
          <t>长期熬夜会摧残身体健康。</t>
        </is>
      </c>
      <c r="G3071" s="0" t="inlineStr"/>
      <c r="H3071" s="0" t="inlineStr"/>
    </row>
    <row r="3072">
      <c r="A3072" s="0" t="inlineStr">
        <is>
          <t>Bài 30</t>
        </is>
      </c>
      <c r="B3072" s="0" t="inlineStr">
        <is>
          <t>普及</t>
        </is>
      </c>
      <c r="C3072" s="0" t="inlineStr">
        <is>
          <t>pǔjí</t>
        </is>
      </c>
      <c r="D3072" s="0" t="inlineStr">
        <is>
          <t>普遍推广，使大家都有或都懂</t>
        </is>
      </c>
      <c r="E3072" s="0" t="inlineStr">
        <is>
          <t>phổ cập, phổ biến</t>
        </is>
      </c>
      <c r="F3072" s="0" t="inlineStr">
        <is>
          <t>智能手机普及以后，很多人睡前都离不开它。</t>
        </is>
      </c>
      <c r="G3072" s="0" t="inlineStr"/>
      <c r="H3072" s="0" t="inlineStr"/>
    </row>
    <row r="3073">
      <c r="A3073" s="0" t="inlineStr">
        <is>
          <t>Bài 30</t>
        </is>
      </c>
      <c r="B3073" s="0" t="inlineStr">
        <is>
          <t>盛行</t>
        </is>
      </c>
      <c r="C3073" s="0" t="inlineStr">
        <is>
          <t>shèngxíng</t>
        </is>
      </c>
      <c r="D3073" s="0" t="inlineStr">
        <is>
          <t>广泛地流行</t>
        </is>
      </c>
      <c r="E3073" s="0" t="inlineStr">
        <is>
          <t>thịnh hành, phổ biến rộng</t>
        </is>
      </c>
      <c r="F3073" s="0" t="inlineStr">
        <is>
          <t>现在睡前上网的习惯很盛行。</t>
        </is>
      </c>
      <c r="G3073" s="0" t="inlineStr"/>
      <c r="H3073" s="0" t="inlineStr"/>
    </row>
    <row r="3074">
      <c r="A3074" s="0" t="inlineStr">
        <is>
          <t>Bài 30</t>
        </is>
      </c>
      <c r="B3074" s="0" t="inlineStr">
        <is>
          <t>细胞</t>
        </is>
      </c>
      <c r="C3074" s="0" t="inlineStr">
        <is>
          <t>xìbāo</t>
        </is>
      </c>
      <c r="D3074" s="0" t="inlineStr">
        <is>
          <t>生物体结构和功能的基本单位</t>
        </is>
      </c>
      <c r="E3074" s="0" t="inlineStr">
        <is>
          <t>tế bào</t>
        </is>
      </c>
      <c r="F3074" s="0" t="inlineStr">
        <is>
          <t>熬夜会影响人体细胞的正常活动。</t>
        </is>
      </c>
      <c r="G3074" s="0" t="inlineStr"/>
      <c r="H3074" s="0" t="inlineStr"/>
    </row>
    <row r="3075">
      <c r="A3075" s="0" t="inlineStr">
        <is>
          <t>Bài 30</t>
        </is>
      </c>
      <c r="B3075" s="0" t="inlineStr">
        <is>
          <t>肿瘤</t>
        </is>
      </c>
      <c r="C3075" s="0" t="inlineStr">
        <is>
          <t>zhǒngliú</t>
        </is>
      </c>
      <c r="D3075" s="0" t="inlineStr">
        <is>
          <t>身体里不正常增生的组织块</t>
        </is>
      </c>
      <c r="E3075" s="0" t="inlineStr">
        <is>
          <t>khối u, u bướu</t>
        </is>
      </c>
      <c r="F3075" s="0" t="inlineStr">
        <is>
          <t>医生说定期体检能早点发现肿瘤。</t>
        </is>
      </c>
      <c r="G3075" s="0" t="inlineStr"/>
      <c r="H3075" s="0" t="inlineStr"/>
    </row>
    <row r="3076">
      <c r="A3076" s="0" t="inlineStr">
        <is>
          <t>Bài 30</t>
        </is>
      </c>
      <c r="B3076" s="0" t="inlineStr">
        <is>
          <t>癌症</t>
        </is>
      </c>
      <c r="C3076" s="0" t="inlineStr">
        <is>
          <t>áizhèng</t>
        </is>
      </c>
      <c r="D3076" s="0" t="inlineStr">
        <is>
          <t>由恶性肿瘤引起的疾病</t>
        </is>
      </c>
      <c r="E3076" s="0" t="inlineStr">
        <is>
          <t>bệnh ung thư</t>
        </is>
      </c>
      <c r="F3076" s="0" t="inlineStr">
        <is>
          <t>不良的生活习惯可能会增加得癌症的风险。</t>
        </is>
      </c>
      <c r="G3076" s="0" t="inlineStr"/>
      <c r="H3076" s="0" t="inlineStr"/>
    </row>
    <row r="3077">
      <c r="A3077" s="0" t="inlineStr">
        <is>
          <t>Bài 30</t>
        </is>
      </c>
      <c r="B3077" s="0" t="inlineStr">
        <is>
          <t>呼吁</t>
        </is>
      </c>
      <c r="C3077" s="0" t="inlineStr">
        <is>
          <t>hūyù</t>
        </is>
      </c>
      <c r="D3077" s="0" t="inlineStr">
        <is>
          <t>大声向社会请求支持或帮助</t>
        </is>
      </c>
      <c r="E3077" s="0" t="inlineStr">
        <is>
          <t>kêu gọi</t>
        </is>
      </c>
      <c r="F3077" s="0" t="inlineStr">
        <is>
          <t>医生呼吁大家不要经常熬夜。</t>
        </is>
      </c>
      <c r="G3077" s="0" t="inlineStr"/>
      <c r="H3077" s="0" t="inlineStr"/>
    </row>
    <row r="3078">
      <c r="A3078" s="0" t="inlineStr">
        <is>
          <t>Bài 30</t>
        </is>
      </c>
      <c r="B3078" s="0" t="inlineStr">
        <is>
          <t>无动于衷</t>
        </is>
      </c>
      <c r="C3078" s="0" t="inlineStr">
        <is>
          <t>wúdòngyúzhōng</t>
        </is>
      </c>
      <c r="D3078" s="0" t="inlineStr">
        <is>
          <t>心里一点儿也不受触动，毫不在意</t>
        </is>
      </c>
      <c r="E3078" s="0" t="inlineStr">
        <is>
          <t>thờ ơ, dửng dưng</t>
        </is>
      </c>
      <c r="F3078" s="0" t="inlineStr">
        <is>
          <t>对自己的坏习惯不能无动于衷，要及时改正。</t>
        </is>
      </c>
      <c r="G3078" s="0" t="inlineStr"/>
      <c r="H3078" s="0" t="inlineStr"/>
    </row>
    <row r="3079">
      <c r="A3079" s="0" t="inlineStr">
        <is>
          <t>Bài 30</t>
        </is>
      </c>
      <c r="B3079" s="0" t="inlineStr">
        <is>
          <t>过瘾</t>
        </is>
      </c>
      <c r="C3079" s="0" t="inlineStr">
        <is>
          <t>guòyǐn</t>
        </is>
      </c>
      <c r="D3079" s="0" t="inlineStr">
        <is>
          <t>满足了某种爱好，觉得很痛快</t>
        </is>
      </c>
      <c r="E3079" s="0" t="inlineStr">
        <is>
          <t>đã, thỏa mãn (sở thích)</t>
        </is>
      </c>
      <c r="F3079" s="0" t="inlineStr">
        <is>
          <t>周末追一整天中文剧，看得特别过瘾。</t>
        </is>
      </c>
      <c r="G3079" s="0" t="inlineStr"/>
      <c r="H3079" s="0" t="inlineStr"/>
    </row>
    <row r="3080">
      <c r="A3080" s="0" t="inlineStr">
        <is>
          <t>Bài 30</t>
        </is>
      </c>
      <c r="B3080" s="0" t="inlineStr">
        <is>
          <t>分泌</t>
        </is>
      </c>
      <c r="C3080" s="0" t="inlineStr">
        <is>
          <t>fēnmì</t>
        </is>
      </c>
      <c r="D3080" s="0" t="inlineStr">
        <is>
          <t>生物体产生并排出某种物质</t>
        </is>
      </c>
      <c r="E3080" s="0" t="inlineStr">
        <is>
          <t>tiết ra, bài tiết</t>
        </is>
      </c>
      <c r="F3080" s="0" t="inlineStr">
        <is>
          <t>光污染会影响人体褪黑素的分泌。</t>
        </is>
      </c>
      <c r="G3080" s="0" t="inlineStr"/>
      <c r="H3080" s="0" t="inlineStr"/>
    </row>
    <row r="3081">
      <c r="A3081" s="0" t="inlineStr">
        <is>
          <t>Bài 30</t>
        </is>
      </c>
      <c r="B3081" s="0" t="inlineStr">
        <is>
          <t>职能</t>
        </is>
      </c>
      <c r="C3081" s="0" t="inlineStr">
        <is>
          <t>zhínéng</t>
        </is>
      </c>
      <c r="D3081" s="0" t="inlineStr">
        <is>
          <t>事物或机构应有的功能、作用</t>
        </is>
      </c>
      <c r="E3081" s="0" t="inlineStr">
        <is>
          <t>chức năng</t>
        </is>
      </c>
      <c r="F3081" s="0" t="inlineStr">
        <is>
          <t>褪黑素的一个重要职能是帮助睡眠。</t>
        </is>
      </c>
      <c r="G3081" s="0" t="inlineStr"/>
      <c r="H3081" s="0" t="inlineStr"/>
    </row>
    <row r="3082">
      <c r="A3082" s="0" t="inlineStr">
        <is>
          <t>Bài 30</t>
        </is>
      </c>
      <c r="B3082" s="0" t="inlineStr">
        <is>
          <t>衰老</t>
        </is>
      </c>
      <c r="C3082" s="0" t="inlineStr">
        <is>
          <t>shuāilǎo</t>
        </is>
      </c>
      <c r="D3082" s="0" t="inlineStr">
        <is>
          <t>身体机能因年老而衰退</t>
        </is>
      </c>
      <c r="E3082" s="0" t="inlineStr">
        <is>
          <t>già đi, lão hóa</t>
        </is>
      </c>
      <c r="F3082" s="0" t="inlineStr">
        <is>
          <t>睡眠不足会让人加速衰老。</t>
        </is>
      </c>
      <c r="G3082" s="0" t="inlineStr"/>
      <c r="H3082" s="0" t="inlineStr"/>
    </row>
    <row r="3083">
      <c r="A3083" s="0" t="inlineStr">
        <is>
          <t>Bài 30</t>
        </is>
      </c>
      <c r="B3083" s="0" t="inlineStr">
        <is>
          <t>调剂</t>
        </is>
      </c>
      <c r="C3083" s="0" t="inlineStr">
        <is>
          <t>tiáojì</t>
        </is>
      </c>
      <c r="D3083" s="0" t="inlineStr">
        <is>
          <t>调整使合适；调节</t>
        </is>
      </c>
      <c r="E3083" s="0" t="inlineStr">
        <is>
          <t>điều tiết, điều hòa</t>
        </is>
      </c>
      <c r="F3083" s="0" t="inlineStr">
        <is>
          <t>学习累了，我会听听音乐调剂一下心情。</t>
        </is>
      </c>
      <c r="G3083" s="0" t="inlineStr"/>
      <c r="H3083" s="0" t="inlineStr"/>
    </row>
    <row r="3084">
      <c r="A3084" s="0" t="inlineStr">
        <is>
          <t>Bài 30</t>
        </is>
      </c>
      <c r="B3084" s="0" t="inlineStr">
        <is>
          <t>供不应求</t>
        </is>
      </c>
      <c r="C3084" s="0" t="inlineStr">
        <is>
          <t>gōngbùyìngqiú</t>
        </is>
      </c>
      <c r="D3084" s="0" t="inlineStr">
        <is>
          <t>供应满足不了需求</t>
        </is>
      </c>
      <c r="E3084" s="0" t="inlineStr">
        <is>
          <t>cung không đủ cầu</t>
        </is>
      </c>
      <c r="F3084" s="0" t="inlineStr">
        <is>
          <t>在中国，好的睡眠门诊医生总是供不应求。</t>
        </is>
      </c>
      <c r="G3084" s="0" t="inlineStr"/>
      <c r="H3084" s="0" t="inlineStr"/>
    </row>
    <row r="3085">
      <c r="A3085" s="0" t="inlineStr">
        <is>
          <t>Bài 30</t>
        </is>
      </c>
      <c r="B3085" s="0" t="inlineStr">
        <is>
          <t>不相上下</t>
        </is>
      </c>
      <c r="C3085" s="0" t="inlineStr">
        <is>
          <t>bùxiāng-shàngxià</t>
        </is>
      </c>
      <c r="D3085" s="0" t="inlineStr">
        <is>
          <t>分不出高低好坏，程度差不多</t>
        </is>
      </c>
      <c r="E3085" s="0" t="inlineStr">
        <is>
          <t>ngang tài ngang sức, xấp xỉ</t>
        </is>
      </c>
      <c r="F3085" s="0" t="inlineStr">
        <is>
          <t>我和同桌的汉语水平不相上下。</t>
        </is>
      </c>
      <c r="G3085" s="0" t="inlineStr"/>
      <c r="H3085" s="0" t="inlineStr"/>
    </row>
    <row r="3086">
      <c r="A3086" s="0" t="inlineStr">
        <is>
          <t>Bài 30</t>
        </is>
      </c>
      <c r="B3086" s="0" t="inlineStr">
        <is>
          <t>总而言之</t>
        </is>
      </c>
      <c r="C3086" s="0" t="inlineStr">
        <is>
          <t>zǒng'éryánzhī</t>
        </is>
      </c>
      <c r="D3086" s="0" t="inlineStr">
        <is>
          <t>总的说来</t>
        </is>
      </c>
      <c r="E3086" s="0" t="inlineStr">
        <is>
          <t>tóm lại, nói tóm lại</t>
        </is>
      </c>
      <c r="F3086" s="0" t="inlineStr">
        <is>
          <t>总而言之，想学好中文，坚持最重要。</t>
        </is>
      </c>
      <c r="G3086" s="0" t="inlineStr"/>
      <c r="H3086" s="0" t="inlineStr"/>
    </row>
    <row r="3087">
      <c r="A3087" s="0" t="inlineStr">
        <is>
          <t>Bài 30</t>
        </is>
      </c>
      <c r="B3087" s="0" t="inlineStr">
        <is>
          <t>恶化</t>
        </is>
      </c>
      <c r="C3087" s="0" t="inlineStr">
        <is>
          <t>èhuà</t>
        </is>
      </c>
      <c r="D3087" s="0" t="inlineStr">
        <is>
          <t>情况向坏的方向发展</t>
        </is>
      </c>
      <c r="E3087" s="0" t="inlineStr">
        <is>
          <t>xấu đi, trở nặng</t>
        </is>
      </c>
      <c r="F3087" s="0" t="inlineStr">
        <is>
          <t>如果一直睡不好，健康状况会慢慢恶化。</t>
        </is>
      </c>
      <c r="G3087" s="0" t="inlineStr"/>
      <c r="H3087" s="0" t="inlineStr"/>
    </row>
    <row r="3088">
      <c r="A3088" s="0" t="inlineStr">
        <is>
          <t>Bài 30</t>
        </is>
      </c>
      <c r="B3088" s="0" t="inlineStr">
        <is>
          <t>适宜</t>
        </is>
      </c>
      <c r="C3088" s="0" t="inlineStr">
        <is>
          <t>shìyí</t>
        </is>
      </c>
      <c r="D3088" s="0" t="inlineStr">
        <is>
          <t>合适，恰当</t>
        </is>
      </c>
      <c r="E3088" s="0" t="inlineStr">
        <is>
          <t>thích hợp, phù hợp</t>
        </is>
      </c>
      <c r="F3088" s="0" t="inlineStr">
        <is>
          <t>睡前听点轻音乐，很适宜放松心情。</t>
        </is>
      </c>
      <c r="G3088" s="0" t="inlineStr"/>
      <c r="H3088" s="0" t="inlineStr"/>
    </row>
    <row r="3089">
      <c r="A3089" s="0" t="inlineStr">
        <is>
          <t>Bài 30</t>
        </is>
      </c>
      <c r="B3089" s="0" t="inlineStr">
        <is>
          <t>场合</t>
        </is>
      </c>
      <c r="C3089" s="0" t="inlineStr">
        <is>
          <t>chǎnghé</t>
        </is>
      </c>
      <c r="D3089" s="0" t="inlineStr">
        <is>
          <t>一定的时间、地点和情况</t>
        </is>
      </c>
      <c r="E3089" s="0" t="inlineStr">
        <is>
          <t>trường hợp, dịp, hoàn cảnh</t>
        </is>
      </c>
      <c r="F3089" s="0" t="inlineStr">
        <is>
          <t>在正式场合，我说中文会更客气一些。</t>
        </is>
      </c>
      <c r="G3089" s="0" t="inlineStr"/>
      <c r="H3089" s="0" t="inlineStr"/>
    </row>
    <row r="3090">
      <c r="A3090" s="0" t="inlineStr">
        <is>
          <t>Bài 30</t>
        </is>
      </c>
      <c r="B3090" s="0" t="inlineStr">
        <is>
          <t>地步</t>
        </is>
      </c>
      <c r="C3090" s="0" t="inlineStr">
        <is>
          <t>dìbù</t>
        </is>
      </c>
      <c r="D3090" s="0" t="inlineStr">
        <is>
          <t>达到的程度（多指不好的情况）</t>
        </is>
      </c>
      <c r="E3090" s="0" t="inlineStr">
        <is>
          <t>mức độ, nước (đến nước)</t>
        </is>
      </c>
      <c r="F3090" s="0" t="inlineStr">
        <is>
          <t>那阵子我忙到连饭都顾不上吃的地步。</t>
        </is>
      </c>
      <c r="G3090" s="0" t="inlineStr"/>
      <c r="H3090" s="0" t="inlineStr"/>
    </row>
    <row r="3091">
      <c r="A3091" s="0" t="inlineStr">
        <is>
          <t>Bài 30</t>
        </is>
      </c>
      <c r="B3091" s="0" t="inlineStr">
        <is>
          <t>混乱</t>
        </is>
      </c>
      <c r="C3091" s="0" t="inlineStr">
        <is>
          <t>hùnluàn</t>
        </is>
      </c>
      <c r="D3091" s="0" t="inlineStr">
        <is>
          <t>没有条理，乱七八糟</t>
        </is>
      </c>
      <c r="E3091" s="0" t="inlineStr">
        <is>
          <t>hỗn loạn, lộn xộn</t>
        </is>
      </c>
      <c r="F3091" s="0" t="inlineStr">
        <is>
          <t>睡不好觉时，我的思路会变得很混乱。</t>
        </is>
      </c>
      <c r="G3091" s="0" t="inlineStr"/>
      <c r="H3091" s="0" t="inlineStr"/>
    </row>
    <row r="3092">
      <c r="A3092" s="0" t="inlineStr">
        <is>
          <t>Bài 30</t>
        </is>
      </c>
      <c r="B3092" s="0" t="inlineStr">
        <is>
          <t>举足轻重</t>
        </is>
      </c>
      <c r="C3092" s="0" t="inlineStr">
        <is>
          <t>jǔzú-qīngzhòng</t>
        </is>
      </c>
      <c r="D3092" s="0" t="inlineStr">
        <is>
          <t>所处地位重要，一举一动都影响全局</t>
        </is>
      </c>
      <c r="E3092" s="0" t="inlineStr">
        <is>
          <t>có vai trò then chốt, cực kỳ quan trọng</t>
        </is>
      </c>
      <c r="F3092" s="0" t="inlineStr">
        <is>
          <t>睡眠对健康举足轻重，千万不能忽视。</t>
        </is>
      </c>
      <c r="G3092" s="0" t="inlineStr"/>
      <c r="H3092" s="0" t="inlineStr"/>
    </row>
    <row r="3093">
      <c r="A3093" s="0" t="inlineStr">
        <is>
          <t>Bài 31</t>
        </is>
      </c>
      <c r="B3093" s="0" t="inlineStr">
        <is>
          <t>忠实</t>
        </is>
      </c>
      <c r="C3093" s="0" t="inlineStr">
        <is>
          <t>zhōngshí</t>
        </is>
      </c>
      <c r="D3093" s="0" t="inlineStr">
        <is>
          <t>对人或事很真诚，一直不变心。</t>
        </is>
      </c>
      <c r="E3093" s="0" t="inlineStr">
        <is>
          <t>trung thực, trung thành</t>
        </is>
      </c>
      <c r="F3093" s="0" t="inlineStr">
        <is>
          <t>虽然工作很忙，我还是每天忠实地坚持背单词，准备HSK6考试。</t>
        </is>
      </c>
      <c r="G3093" s="0" t="inlineStr"/>
      <c r="H3093" s="0" t="inlineStr"/>
    </row>
    <row r="3094">
      <c r="A3094" s="0" t="inlineStr">
        <is>
          <t>Bài 31</t>
        </is>
      </c>
      <c r="B3094" s="0" t="inlineStr">
        <is>
          <t>不敢当</t>
        </is>
      </c>
      <c r="C3094" s="0" t="inlineStr">
        <is>
          <t>bùgǎndāng</t>
        </is>
      </c>
      <c r="D3094" s="0" t="inlineStr">
        <is>
          <t>别人夸奖自己的时候，谦虚地说自己配不上这样的夸奖。</t>
        </is>
      </c>
      <c r="E3094" s="0" t="inlineStr">
        <is>
          <t>không dám nhận (lời khen), quá khen rồi</t>
        </is>
      </c>
      <c r="F3094" s="0" t="inlineStr">
        <is>
          <t>老板夸我中文说得像中国人一样，我连忙说："不敢当，不敢当，我还差得远呢。"</t>
        </is>
      </c>
      <c r="G3094" s="0" t="inlineStr"/>
      <c r="H3094" s="0" t="inlineStr"/>
    </row>
    <row r="3095">
      <c r="A3095" s="0" t="inlineStr">
        <is>
          <t>Bài 31</t>
        </is>
      </c>
      <c r="B3095" s="0" t="inlineStr">
        <is>
          <t>走廊</t>
        </is>
      </c>
      <c r="C3095" s="0" t="inlineStr">
        <is>
          <t>zǒuláng</t>
        </is>
      </c>
      <c r="D3095" s="0" t="inlineStr">
        <is>
          <t>房子里连接各个房间的长长的通道。</t>
        </is>
      </c>
      <c r="E3095" s="0" t="inlineStr">
        <is>
          <t>hành lang</t>
        </is>
      </c>
      <c r="F3095" s="0" t="inlineStr">
        <is>
          <t>公司的走廊上贴满了员工旅游的照片，每次经过我都会看一看。</t>
        </is>
      </c>
      <c r="G3095" s="0" t="inlineStr"/>
      <c r="H3095" s="0" t="inlineStr"/>
    </row>
    <row r="3096">
      <c r="A3096" s="0" t="inlineStr">
        <is>
          <t>Bài 31</t>
        </is>
      </c>
      <c r="B3096" s="0" t="inlineStr">
        <is>
          <t>徒弟</t>
        </is>
      </c>
      <c r="C3096" s="0" t="inlineStr">
        <is>
          <t>túdì</t>
        </is>
      </c>
      <c r="D3096" s="0" t="inlineStr">
        <is>
          <t>跟着师父学手艺或本领的人。</t>
        </is>
      </c>
      <c r="E3096" s="0" t="inlineStr">
        <is>
          <t>đồ đệ, học trò (học nghề)</t>
        </is>
      </c>
      <c r="F3096" s="0" t="inlineStr">
        <is>
          <t>我教中文的时候，学生们总说自己是我的徒弟，让我教他们说地道的中文。</t>
        </is>
      </c>
      <c r="G3096" s="0" t="inlineStr"/>
      <c r="H3096" s="0" t="inlineStr"/>
    </row>
    <row r="3097">
      <c r="A3097" s="0" t="inlineStr">
        <is>
          <t>Bài 31</t>
        </is>
      </c>
      <c r="B3097" s="0" t="inlineStr">
        <is>
          <t>气功</t>
        </is>
      </c>
      <c r="C3097" s="0" t="inlineStr">
        <is>
          <t>qìgōng</t>
        </is>
      </c>
      <c r="D3097" s="0" t="inlineStr">
        <is>
          <t>中国传统的一种通过呼吸和动作来锻炼身体的方法。</t>
        </is>
      </c>
      <c r="E3097" s="0" t="inlineStr">
        <is>
          <t>khí công</t>
        </is>
      </c>
      <c r="F3097" s="0" t="inlineStr">
        <is>
          <t>我们公司楼下的公园里，每天早上都有一群中国同事在练气功。</t>
        </is>
      </c>
      <c r="G3097" s="0" t="inlineStr"/>
      <c r="H3097" s="0" t="inlineStr"/>
    </row>
    <row r="3098">
      <c r="A3098" s="0" t="inlineStr">
        <is>
          <t>Bài 31</t>
        </is>
      </c>
      <c r="B3098" s="0" t="inlineStr">
        <is>
          <t>剑</t>
        </is>
      </c>
      <c r="C3098" s="0" t="inlineStr">
        <is>
          <t>jiàn</t>
        </is>
      </c>
      <c r="D3098" s="0" t="inlineStr">
        <is>
          <t>一种古代的兵器，两边都很锋利。</t>
        </is>
      </c>
      <c r="E3098" s="0" t="inlineStr">
        <is>
          <t>kiếm</t>
        </is>
      </c>
      <c r="F3098" s="0" t="inlineStr">
        <is>
          <t>我在中国旅游的时候，在博物馆里看到了一把很古老的剑。</t>
        </is>
      </c>
      <c r="G3098" s="0" t="inlineStr"/>
      <c r="H3098" s="0" t="inlineStr"/>
    </row>
    <row r="3099">
      <c r="A3099" s="0" t="inlineStr">
        <is>
          <t>Bài 31</t>
        </is>
      </c>
      <c r="B3099" s="0" t="inlineStr">
        <is>
          <t>协会</t>
        </is>
      </c>
      <c r="C3099" s="0" t="inlineStr">
        <is>
          <t>xiéhuì</t>
        </is>
      </c>
      <c r="D3099" s="0" t="inlineStr">
        <is>
          <t>一群有相同兴趣或目的的人组成的组织。</t>
        </is>
      </c>
      <c r="E3099" s="0" t="inlineStr">
        <is>
          <t>hiệp hội</t>
        </is>
      </c>
      <c r="F3099" s="0" t="inlineStr">
        <is>
          <t>我打算准备完HSK6之后加入汉语教师协会，认识更多同行。</t>
        </is>
      </c>
      <c r="G3099" s="0" t="inlineStr"/>
      <c r="H3099" s="0" t="inlineStr"/>
    </row>
    <row r="3100">
      <c r="A3100" s="0" t="inlineStr">
        <is>
          <t>Bài 31</t>
        </is>
      </c>
      <c r="B3100" s="0" t="inlineStr">
        <is>
          <t>爆发</t>
        </is>
      </c>
      <c r="C3100" s="0" t="inlineStr">
        <is>
          <t>bàofā</t>
        </is>
      </c>
      <c r="D3100" s="0" t="inlineStr">
        <is>
          <t>突然猛烈地发生。</t>
        </is>
      </c>
      <c r="E3100" s="0" t="inlineStr">
        <is>
          <t>bùng nổ, bộc phát</t>
        </is>
      </c>
      <c r="F3100" s="0" t="inlineStr">
        <is>
          <t>上个月公司里因为一个项目的问题，同事之间的矛盾一下子爆发了。</t>
        </is>
      </c>
      <c r="G3100" s="0" t="inlineStr"/>
      <c r="H3100" s="0" t="inlineStr"/>
    </row>
    <row r="3101">
      <c r="A3101" s="0" t="inlineStr">
        <is>
          <t>Bài 31</t>
        </is>
      </c>
      <c r="B3101" s="0" t="inlineStr">
        <is>
          <t>劈</t>
        </is>
      </c>
      <c r="C3101" s="0" t="inlineStr">
        <is>
          <t>pī</t>
        </is>
      </c>
      <c r="D3101" s="0" t="inlineStr">
        <is>
          <t>用刀、斧等工具把东西从中间用力分开。</t>
        </is>
      </c>
      <c r="E3101" s="0" t="inlineStr">
        <is>
          <t>chẻ, bổ (củi...)</t>
        </is>
      </c>
      <c r="F3101" s="0" t="inlineStr">
        <is>
          <t>小时候在乡下，我经常帮爷爷劈柴生火做饭。</t>
        </is>
      </c>
      <c r="G3101" s="0" t="inlineStr"/>
      <c r="H3101" s="0" t="inlineStr"/>
    </row>
    <row r="3102">
      <c r="A3102" s="0" t="inlineStr">
        <is>
          <t>Bài 31</t>
        </is>
      </c>
      <c r="B3102" s="0" t="inlineStr">
        <is>
          <t>误解</t>
        </is>
      </c>
      <c r="C3102" s="0" t="inlineStr">
        <is>
          <t>wùjiě</t>
        </is>
      </c>
      <c r="D3102" s="0" t="inlineStr">
        <is>
          <t>理解得不对，把意思弄错了。</t>
        </is>
      </c>
      <c r="E3102" s="0" t="inlineStr">
        <is>
          <t>hiểu lầm</t>
        </is>
      </c>
      <c r="F3102" s="0" t="inlineStr">
        <is>
          <t>因为我的中文表达不够清楚，同事误解了我的意思，还好后来解释清楚了。</t>
        </is>
      </c>
      <c r="G3102" s="0" t="inlineStr"/>
      <c r="H3102" s="0" t="inlineStr"/>
    </row>
    <row r="3103">
      <c r="A3103" s="0" t="inlineStr">
        <is>
          <t>Bài 31</t>
        </is>
      </c>
      <c r="B3103" s="0" t="inlineStr">
        <is>
          <t>群众</t>
        </is>
      </c>
      <c r="C3103" s="0" t="inlineStr">
        <is>
          <t>qúnzhòng</t>
        </is>
      </c>
      <c r="D3103" s="0" t="inlineStr">
        <is>
          <t>普通的老百姓，人民大众。</t>
        </is>
      </c>
      <c r="E3103" s="0" t="inlineStr">
        <is>
          <t>quần chúng, dân chúng</t>
        </is>
      </c>
      <c r="F3103" s="0" t="inlineStr">
        <is>
          <t>政府这次的新政策得到了广大群众的支持。</t>
        </is>
      </c>
      <c r="G3103" s="0" t="inlineStr"/>
      <c r="H3103" s="0" t="inlineStr"/>
    </row>
    <row r="3104">
      <c r="A3104" s="0" t="inlineStr">
        <is>
          <t>Bài 31</t>
        </is>
      </c>
      <c r="B3104" s="0" t="inlineStr">
        <is>
          <t>逐年</t>
        </is>
      </c>
      <c r="C3104" s="0" t="inlineStr">
        <is>
          <t>zhúnián</t>
        </is>
      </c>
      <c r="D3104" s="0" t="inlineStr">
        <is>
          <t>一年一年地（变化）。</t>
        </is>
      </c>
      <c r="E3104" s="0" t="inlineStr">
        <is>
          <t>từng năm, theo từng năm</t>
        </is>
      </c>
      <c r="F3104" s="0" t="inlineStr">
        <is>
          <t>我的中文水平在这几年逐年提高，现在已经能和中国同事无障碍交流了。</t>
        </is>
      </c>
      <c r="G3104" s="0" t="inlineStr"/>
      <c r="H3104" s="0" t="inlineStr"/>
    </row>
    <row r="3105">
      <c r="A3105" s="0" t="inlineStr">
        <is>
          <t>Bài 31</t>
        </is>
      </c>
      <c r="B3105" s="0" t="inlineStr">
        <is>
          <t>要素</t>
        </is>
      </c>
      <c r="C3105" s="0" t="inlineStr">
        <is>
          <t>yàosù</t>
        </is>
      </c>
      <c r="D3105" s="0" t="inlineStr">
        <is>
          <t>构成事物不可缺少的重要部分。</t>
        </is>
      </c>
      <c r="E3105" s="0" t="inlineStr">
        <is>
          <t>yếu tố</t>
        </is>
      </c>
      <c r="F3105" s="0" t="inlineStr">
        <is>
          <t>词汇量、语法和语感是学好HSK6的三个重要要素。</t>
        </is>
      </c>
      <c r="G3105" s="0" t="inlineStr"/>
      <c r="H3105" s="0" t="inlineStr"/>
    </row>
    <row r="3106">
      <c r="A3106" s="0" t="inlineStr">
        <is>
          <t>Bài 31</t>
        </is>
      </c>
      <c r="B3106" s="0" t="inlineStr">
        <is>
          <t>智力</t>
        </is>
      </c>
      <c r="C3106" s="0" t="inlineStr">
        <is>
          <t>zhìlì</t>
        </is>
      </c>
      <c r="D3106" s="0" t="inlineStr">
        <is>
          <t>人认识、理解和解决问题的能力。</t>
        </is>
      </c>
      <c r="E3106" s="0" t="inlineStr">
        <is>
          <t>trí lực, trí tuệ</t>
        </is>
      </c>
      <c r="F3106" s="0" t="inlineStr">
        <is>
          <t>学外语不但需要努力，也需要一定的智力和好的学习方法。</t>
        </is>
      </c>
      <c r="G3106" s="0" t="inlineStr"/>
      <c r="H3106" s="0" t="inlineStr"/>
    </row>
    <row r="3107">
      <c r="A3107" s="0" t="inlineStr">
        <is>
          <t>Bài 31</t>
        </is>
      </c>
      <c r="B3107" s="0" t="inlineStr">
        <is>
          <t>预期</t>
        </is>
      </c>
      <c r="C3107" s="0" t="inlineStr">
        <is>
          <t>yùqī</t>
        </is>
      </c>
      <c r="D3107" s="0" t="inlineStr">
        <is>
          <t>事先期望或估计会发生的情况。</t>
        </is>
      </c>
      <c r="E3107" s="0" t="inlineStr">
        <is>
          <t>dự kiến, kỳ vọng trước</t>
        </is>
      </c>
      <c r="F3107" s="0" t="inlineStr">
        <is>
          <t>这次HSK6考试的成绩比我预期的要好，我很开心。</t>
        </is>
      </c>
      <c r="G3107" s="0" t="inlineStr"/>
      <c r="H3107" s="0" t="inlineStr"/>
    </row>
    <row r="3108">
      <c r="A3108" s="0" t="inlineStr">
        <is>
          <t>Bài 31</t>
        </is>
      </c>
      <c r="B3108" s="0" t="inlineStr">
        <is>
          <t>首要</t>
        </is>
      </c>
      <c r="C3108" s="0" t="inlineStr">
        <is>
          <t>shǒuyào</t>
        </is>
      </c>
      <c r="D3108" s="0" t="inlineStr">
        <is>
          <t>排在第一位的，最重要的。</t>
        </is>
      </c>
      <c r="E3108" s="0" t="inlineStr">
        <is>
          <t>hàng đầu, quan trọng nhất</t>
        </is>
      </c>
      <c r="F3108" s="0" t="inlineStr">
        <is>
          <t>对我来说，提高口语的自然度是目前学习中文的首要任务。</t>
        </is>
      </c>
      <c r="G3108" s="0" t="inlineStr"/>
      <c r="H3108" s="0" t="inlineStr"/>
    </row>
    <row r="3109">
      <c r="A3109" s="0" t="inlineStr">
        <is>
          <t>Bài 31</t>
        </is>
      </c>
      <c r="B3109" s="0" t="inlineStr">
        <is>
          <t>生锈</t>
        </is>
      </c>
      <c r="C3109" s="0" t="inlineStr">
        <is>
          <t>shēngxiù</t>
        </is>
      </c>
      <c r="D3109" s="0" t="inlineStr">
        <is>
          <t>金属因为潮湿或长期接触空气而表面变质、变色。</t>
        </is>
      </c>
      <c r="E3109" s="0" t="inlineStr">
        <is>
          <t>gỉ sét, hoen gỉ</t>
        </is>
      </c>
      <c r="F3109" s="0" t="inlineStr">
        <is>
          <t>好久不用中文，我感觉自己的口语都要生锈了，得赶紧多练习。</t>
        </is>
      </c>
      <c r="G3109" s="0" t="inlineStr"/>
      <c r="H3109" s="0" t="inlineStr"/>
    </row>
    <row r="3110">
      <c r="A3110" s="0" t="inlineStr">
        <is>
          <t>Bài 31</t>
        </is>
      </c>
      <c r="B3110" s="0" t="inlineStr">
        <is>
          <t>放射</t>
        </is>
      </c>
      <c r="C3110" s="0" t="inlineStr">
        <is>
          <t>fàngshè</t>
        </is>
      </c>
      <c r="D3110" s="0" t="inlineStr">
        <is>
          <t>向四周发出光、热等能量。</t>
        </is>
      </c>
      <c r="E3110" s="0" t="inlineStr">
        <is>
          <t>phóng xạ, tỏa ra (ánh sáng...)</t>
        </is>
      </c>
      <c r="F3110" s="0" t="inlineStr">
        <is>
          <t>老师讲课的时候眼睛里放射出对语言的热爱，让我也很受感染。</t>
        </is>
      </c>
      <c r="G3110" s="0" t="inlineStr"/>
      <c r="H3110" s="0" t="inlineStr"/>
    </row>
    <row r="3111">
      <c r="A3111" s="0" t="inlineStr">
        <is>
          <t>Bài 31</t>
        </is>
      </c>
      <c r="B3111" s="0" t="inlineStr">
        <is>
          <t>夫人</t>
        </is>
      </c>
      <c r="C3111" s="0" t="inlineStr">
        <is>
          <t>fūrén</t>
        </is>
      </c>
      <c r="D3111" s="0" t="inlineStr">
        <is>
          <t>对已婚女人的尊称，也指自己或别人的妻子。</t>
        </is>
      </c>
      <c r="E3111" s="0" t="inlineStr">
        <is>
          <t>phu nhân, vợ (cách gọi trang trọng)</t>
        </is>
      </c>
      <c r="F3111" s="0" t="inlineStr">
        <is>
          <t>我们公司中国老板的夫人也是一位很优秀的汉语老师。</t>
        </is>
      </c>
      <c r="G3111" s="0" t="inlineStr"/>
      <c r="H3111" s="0" t="inlineStr"/>
    </row>
    <row r="3112">
      <c r="A3112" s="0" t="inlineStr">
        <is>
          <t>Bài 31</t>
        </is>
      </c>
      <c r="B3112" s="0" t="inlineStr">
        <is>
          <t>归根到底</t>
        </is>
      </c>
      <c r="C3112" s="0" t="inlineStr">
        <is>
          <t>guīgēndàodǐ</t>
        </is>
      </c>
      <c r="D3112" s="0" t="inlineStr">
        <is>
          <t>从最根本的地方说，总结起来说。</t>
        </is>
      </c>
      <c r="E3112" s="0" t="inlineStr">
        <is>
          <t>xét cho cùng, rốt cuộc</t>
        </is>
      </c>
      <c r="F3112" s="0" t="inlineStr">
        <is>
          <t>归根到底，学好中文靠的还是每天坚持练习，而不是三天打鱼两天晒网。</t>
        </is>
      </c>
      <c r="G3112" s="0" t="inlineStr"/>
      <c r="H3112" s="0" t="inlineStr"/>
    </row>
    <row r="3113">
      <c r="A3113" s="0" t="inlineStr">
        <is>
          <t>Bài 31</t>
        </is>
      </c>
      <c r="B3113" s="0" t="inlineStr">
        <is>
          <t>潜力</t>
        </is>
      </c>
      <c r="C3113" s="0" t="inlineStr">
        <is>
          <t>qiánlì</t>
        </is>
      </c>
      <c r="D3113" s="0" t="inlineStr">
        <is>
          <t>隐藏着的、还没有完全发挥出来的能力。</t>
        </is>
      </c>
      <c r="E3113" s="0" t="inlineStr">
        <is>
          <t>tiềm lực, tiềm năng</t>
        </is>
      </c>
      <c r="F3113" s="0" t="inlineStr">
        <is>
          <t>我的学生虽然现在只是HSK3水平，但我看得出他在口语方面很有潜力。</t>
        </is>
      </c>
      <c r="G3113" s="0" t="inlineStr"/>
      <c r="H3113" s="0" t="inlineStr"/>
    </row>
    <row r="3114">
      <c r="A3114" s="0" t="inlineStr">
        <is>
          <t>Bài 31</t>
        </is>
      </c>
      <c r="B3114" s="0" t="inlineStr">
        <is>
          <t>端端正正</t>
        </is>
      </c>
      <c r="C3114" s="0" t="inlineStr">
        <is>
          <t>duānduānzhèngzhèng</t>
        </is>
      </c>
      <c r="D3114" s="0" t="inlineStr">
        <is>
          <t>形容摆放得很整齐、很正，一点儿也不歪斜（也形容坐、站的姿势很正）。</t>
        </is>
      </c>
      <c r="E3114" s="0" t="inlineStr">
        <is>
          <t>ngay ngắn, đàng hoàng (dạng láy nhấn mạnh)</t>
        </is>
      </c>
      <c r="F3114" s="0" t="inlineStr">
        <is>
          <t>我要求学生写汉字的时候一定要端端正正的，不能马虎。</t>
        </is>
      </c>
      <c r="G3114" s="0" t="inlineStr"/>
      <c r="H3114" s="0" t="inlineStr"/>
    </row>
    <row r="3115">
      <c r="A3115" s="0" t="inlineStr">
        <is>
          <t>Bài 31</t>
        </is>
      </c>
      <c r="B3115" s="0" t="inlineStr">
        <is>
          <t>端正</t>
        </is>
      </c>
      <c r="C3115" s="0" t="inlineStr">
        <is>
          <t>duānzhèng</t>
        </is>
      </c>
      <c r="D3115" s="0" t="inlineStr">
        <is>
          <t>不歪斜，正；也指人的态度或品行正派。</t>
        </is>
      </c>
      <c r="E3115" s="0" t="inlineStr">
        <is>
          <t>ngay ngắn, đứng đắn</t>
        </is>
      </c>
      <c r="F3115" s="0" t="inlineStr">
        <is>
          <t>老师常常提醒我们坐姿要端正，学习态度也要端正。</t>
        </is>
      </c>
      <c r="G3115" s="0" t="inlineStr"/>
      <c r="H3115" s="0" t="inlineStr"/>
    </row>
    <row r="3116">
      <c r="A3116" s="0" t="inlineStr">
        <is>
          <t>Bài 31</t>
        </is>
      </c>
      <c r="B3116" s="0" t="inlineStr">
        <is>
          <t>胡乱</t>
        </is>
      </c>
      <c r="C3116" s="0" t="inlineStr">
        <is>
          <t>húluàn</t>
        </is>
      </c>
      <c r="D3116" s="0" t="inlineStr">
        <is>
          <t>随随便便地、不认真、没有经过思考地（做事）。</t>
        </is>
      </c>
      <c r="E3116" s="0" t="inlineStr">
        <is>
          <t>bừa bãi, tùy tiện, cẩu thả</t>
        </is>
      </c>
      <c r="F3116" s="0" t="inlineStr">
        <is>
          <t>考试的时候不能胡乱写答案，一定要认真思考再作答。</t>
        </is>
      </c>
      <c r="G3116" s="0" t="inlineStr"/>
      <c r="H3116" s="0" t="inlineStr"/>
    </row>
    <row r="3117">
      <c r="A3117" s="0" t="inlineStr">
        <is>
          <t>Bài 31</t>
        </is>
      </c>
      <c r="B3117" s="0" t="inlineStr">
        <is>
          <t>间接</t>
        </is>
      </c>
      <c r="C3117" s="0" t="inlineStr">
        <is>
          <t>jiànjiē</t>
        </is>
      </c>
      <c r="D3117" s="0" t="inlineStr">
        <is>
          <t>不是直接发生关系的，中间还经过别的环节。</t>
        </is>
      </c>
      <c r="E3117" s="0" t="inlineStr">
        <is>
          <t>gián tiếp</t>
        </is>
      </c>
      <c r="F3117" s="0" t="inlineStr">
        <is>
          <t>我是通过朋友介绍间接认识了现在的中文老师的。</t>
        </is>
      </c>
      <c r="G3117" s="0" t="inlineStr"/>
      <c r="H3117" s="0" t="inlineStr"/>
    </row>
    <row r="3118">
      <c r="A3118" s="0" t="inlineStr">
        <is>
          <t>Bài 31</t>
        </is>
      </c>
      <c r="B3118" s="0" t="inlineStr">
        <is>
          <t>品行</t>
        </is>
      </c>
      <c r="C3118" s="0" t="inlineStr">
        <is>
          <t>pǐnxíng</t>
        </is>
      </c>
      <c r="D3118" s="0" t="inlineStr">
        <is>
          <t>一个人的道德行为和品质。</t>
        </is>
      </c>
      <c r="E3118" s="0" t="inlineStr">
        <is>
          <t>phẩm hạnh, đạo đức</t>
        </is>
      </c>
      <c r="F3118" s="0" t="inlineStr">
        <is>
          <t>我常常告诉学生，学好中文固然重要，但品行端正才是做人的根本。</t>
        </is>
      </c>
      <c r="G3118" s="0" t="inlineStr"/>
      <c r="H3118" s="0" t="inlineStr"/>
    </row>
    <row r="3119">
      <c r="A3119" s="0" t="inlineStr">
        <is>
          <t>Bài 31</t>
        </is>
      </c>
      <c r="B3119" s="0" t="inlineStr">
        <is>
          <t>紫外线</t>
        </is>
      </c>
      <c r="C3119" s="0" t="inlineStr">
        <is>
          <t>zǐwàixiàn</t>
        </is>
      </c>
      <c r="D3119" s="0" t="inlineStr">
        <is>
          <t>太阳光里一种人的眼睛看不见、对皮肤有影响的光线。</t>
        </is>
      </c>
      <c r="E3119" s="0" t="inlineStr">
        <is>
          <t>tia cực tím, tia tử ngoại</t>
        </is>
      </c>
      <c r="F3119" s="0" t="inlineStr">
        <is>
          <t>夏天在外面运动，一定要做好防晒，避免紫外线伤害皮肤。</t>
        </is>
      </c>
      <c r="G3119" s="0" t="inlineStr"/>
      <c r="H3119" s="0" t="inlineStr"/>
    </row>
    <row r="3120">
      <c r="A3120" s="0" t="inlineStr">
        <is>
          <t>Bài 31</t>
        </is>
      </c>
      <c r="B3120" s="0" t="inlineStr">
        <is>
          <t>消毒</t>
        </is>
      </c>
      <c r="C3120" s="0" t="inlineStr">
        <is>
          <t>xiāodú</t>
        </is>
      </c>
      <c r="D3120" s="0" t="inlineStr">
        <is>
          <t>用药物或高温等方法去掉物体上的细菌。</t>
        </is>
      </c>
      <c r="E3120" s="0" t="inlineStr">
        <is>
          <t>khử trùng, tiệt trùng</t>
        </is>
      </c>
      <c r="F3120" s="0" t="inlineStr">
        <is>
          <t>疫情期间，公司每天都会对办公室的桌椅进行消毒。</t>
        </is>
      </c>
      <c r="G3120" s="0" t="inlineStr"/>
      <c r="H3120" s="0" t="inlineStr"/>
    </row>
    <row r="3121">
      <c r="A3121" s="0" t="inlineStr">
        <is>
          <t>Bài 31</t>
        </is>
      </c>
      <c r="B3121" s="0" t="inlineStr">
        <is>
          <t>钙</t>
        </is>
      </c>
      <c r="C3121" s="0" t="inlineStr">
        <is>
          <t>gài</t>
        </is>
      </c>
      <c r="D3121" s="0" t="inlineStr">
        <is>
          <t>一种人体骨骼需要的矿物质元素。</t>
        </is>
      </c>
      <c r="E3121" s="0" t="inlineStr">
        <is>
          <t>canxi</t>
        </is>
      </c>
      <c r="F3121" s="0" t="inlineStr">
        <is>
          <t>医生建议我多补钙，多喝牛奶，多晒太阳。</t>
        </is>
      </c>
      <c r="G3121" s="0" t="inlineStr"/>
      <c r="H3121" s="0" t="inlineStr"/>
    </row>
    <row r="3122">
      <c r="A3122" s="0" t="inlineStr">
        <is>
          <t>Bài 31</t>
        </is>
      </c>
      <c r="B3122" s="0" t="inlineStr">
        <is>
          <t>二氧化碳</t>
        </is>
      </c>
      <c r="C3122" s="0" t="inlineStr">
        <is>
          <t>èryǎnghuàtàn</t>
        </is>
      </c>
      <c r="D3122" s="0" t="inlineStr">
        <is>
          <t>一种没有颜色的气体，人呼气时会排出这种气体。</t>
        </is>
      </c>
      <c r="E3122" s="0" t="inlineStr">
        <is>
          <t>khí carbon dioxide (CO2)</t>
        </is>
      </c>
      <c r="F3122" s="0" t="inlineStr">
        <is>
          <t>植物在白天会吸收二氧化碳，释放氧气。</t>
        </is>
      </c>
      <c r="G3122" s="0" t="inlineStr"/>
      <c r="H3122" s="0" t="inlineStr"/>
    </row>
    <row r="3123">
      <c r="A3123" s="0" t="inlineStr">
        <is>
          <t>Bài 31</t>
        </is>
      </c>
      <c r="B3123" s="0" t="inlineStr">
        <is>
          <t>舒畅</t>
        </is>
      </c>
      <c r="C3123" s="0" t="inlineStr">
        <is>
          <t>shūchàng</t>
        </is>
      </c>
      <c r="D3123" s="0" t="inlineStr">
        <is>
          <t>心情很轻松、很愉快，没有烦恼。</t>
        </is>
      </c>
      <c r="E3123" s="0" t="inlineStr">
        <is>
          <t>thoải mái, dễ chịu (tâm trạng)</t>
        </is>
      </c>
      <c r="F3123" s="0" t="inlineStr">
        <is>
          <t>每次教完一堂课，看到学生学会了新知识，我心里就特别舒畅。</t>
        </is>
      </c>
      <c r="G3123" s="0" t="inlineStr"/>
      <c r="H3123" s="0" t="inlineStr"/>
    </row>
    <row r="3124">
      <c r="A3124" s="0" t="inlineStr">
        <is>
          <t>Bài 31</t>
        </is>
      </c>
      <c r="B3124" s="0" t="inlineStr">
        <is>
          <t>宣扬</t>
        </is>
      </c>
      <c r="C3124" s="0" t="inlineStr">
        <is>
          <t>xuānyáng</t>
        </is>
      </c>
      <c r="D3124" s="0" t="inlineStr">
        <is>
          <t>广泛地宣传，让很多人知道（多指好的方面）。</t>
        </is>
      </c>
      <c r="E3124" s="0" t="inlineStr">
        <is>
          <t>tuyên truyền, truyền bá, ca ngợi rộng rãi</t>
        </is>
      </c>
      <c r="F3124" s="0" t="inlineStr">
        <is>
          <t>公司这次特意在朋友圈里宣扬新员工培训项目，希望吸引更多人才。</t>
        </is>
      </c>
      <c r="G3124" s="0" t="inlineStr"/>
      <c r="H3124" s="0" t="inlineStr"/>
    </row>
    <row r="3125">
      <c r="A3125" s="0" t="inlineStr">
        <is>
          <t>Bài 31</t>
        </is>
      </c>
      <c r="B3125" s="0" t="inlineStr">
        <is>
          <t>孔</t>
        </is>
      </c>
      <c r="C3125" s="0" t="inlineStr">
        <is>
          <t>kǒng</t>
        </is>
      </c>
      <c r="D3125" s="0" t="inlineStr">
        <is>
          <t>小洞，窟窿。</t>
        </is>
      </c>
      <c r="E3125" s="0" t="inlineStr">
        <is>
          <t>lỗ, hốc</t>
        </is>
      </c>
      <c r="F3125" s="0" t="inlineStr">
        <is>
          <t>这件衣服穿的时间太长了，袖子上都磨出了一个小孔。</t>
        </is>
      </c>
      <c r="G3125" s="0" t="inlineStr"/>
      <c r="H3125" s="0" t="inlineStr"/>
    </row>
    <row r="3126">
      <c r="A3126" s="0" t="inlineStr">
        <is>
          <t>Bài 31</t>
        </is>
      </c>
      <c r="B3126" s="0" t="inlineStr">
        <is>
          <t>循序渐进</t>
        </is>
      </c>
      <c r="C3126" s="0" t="inlineStr">
        <is>
          <t>xúnxùjiànjìn</t>
        </is>
      </c>
      <c r="D3126" s="0" t="inlineStr">
        <is>
          <t>按照一定的顺序，一步一步地向前发展，不能着急。</t>
        </is>
      </c>
      <c r="E3126" s="0" t="inlineStr">
        <is>
          <t>tuần tự tiến lên, theo trình tự từng bước</t>
        </is>
      </c>
      <c r="F3126" s="0" t="inlineStr">
        <is>
          <t>我教HSK1-3的学生时，一直强调学中文要循序渐进，不能一下子学太多语法点。</t>
        </is>
      </c>
      <c r="G3126" s="0" t="inlineStr"/>
      <c r="H3126" s="0" t="inlineStr"/>
    </row>
    <row r="3127">
      <c r="A3127" s="0" t="inlineStr">
        <is>
          <t>Bài 31</t>
        </is>
      </c>
      <c r="B3127" s="0" t="inlineStr">
        <is>
          <t>急于求成</t>
        </is>
      </c>
      <c r="C3127" s="0" t="inlineStr">
        <is>
          <t>jíyúqiúchéng</t>
        </is>
      </c>
      <c r="D3127" s="0" t="inlineStr">
        <is>
          <t>急着想要马上取得成功，不愿意慢慢努力。</t>
        </is>
      </c>
      <c r="E3127" s="0" t="inlineStr">
        <is>
          <t>nóng vội muốn thành công nhanh</t>
        </is>
      </c>
      <c r="F3127" s="0" t="inlineStr">
        <is>
          <t>备考HSK6的时候我也曾经急于求成，后来才明白积累词汇才是王道。</t>
        </is>
      </c>
      <c r="G3127" s="0" t="inlineStr"/>
      <c r="H3127" s="0" t="inlineStr"/>
    </row>
    <row r="3128">
      <c r="A3128" s="0" t="inlineStr">
        <is>
          <t>Bài 31</t>
        </is>
      </c>
      <c r="B3128" s="0" t="inlineStr">
        <is>
          <t>剧烈</t>
        </is>
      </c>
      <c r="C3128" s="0" t="inlineStr">
        <is>
          <t>jùliè</t>
        </is>
      </c>
      <c r="D3128" s="0" t="inlineStr">
        <is>
          <t>（运动、变化等）非常猛烈，程度很深。</t>
        </is>
      </c>
      <c r="E3128" s="0" t="inlineStr">
        <is>
          <t>kịch liệt, dữ dội, mạnh mẽ</t>
        </is>
      </c>
      <c r="F3128" s="0" t="inlineStr">
        <is>
          <t>医生说我心脏不太好，不适合做剧烈运动，只能散步或游泳。</t>
        </is>
      </c>
      <c r="G3128" s="0" t="inlineStr"/>
      <c r="H3128" s="0" t="inlineStr"/>
    </row>
    <row r="3129">
      <c r="A3129" s="0" t="inlineStr">
        <is>
          <t>Bài 31</t>
        </is>
      </c>
      <c r="B3129" s="0" t="inlineStr">
        <is>
          <t>幅度</t>
        </is>
      </c>
      <c r="C3129" s="0" t="inlineStr">
        <is>
          <t>fúdù</t>
        </is>
      </c>
      <c r="D3129" s="0" t="inlineStr">
        <is>
          <t>事物变化的大小、范围的宽窄。</t>
        </is>
      </c>
      <c r="E3129" s="0" t="inlineStr">
        <is>
          <t>biên độ, mức độ (dao động)</t>
        </is>
      </c>
      <c r="F3129" s="0" t="inlineStr">
        <is>
          <t>这个月公司的销售额有了很大幅度的提高，大家都很开心。</t>
        </is>
      </c>
      <c r="G3129" s="0" t="inlineStr"/>
      <c r="H3129" s="0" t="inlineStr"/>
    </row>
    <row r="3130">
      <c r="A3130" s="0" t="inlineStr">
        <is>
          <t>Bài 31</t>
        </is>
      </c>
      <c r="B3130" s="0" t="inlineStr">
        <is>
          <t>迁就</t>
        </is>
      </c>
      <c r="C3130" s="0" t="inlineStr">
        <is>
          <t>qiānjiù</t>
        </is>
      </c>
      <c r="D3130" s="0" t="inlineStr">
        <is>
          <t>为了让别人满意，勉强按照对方的想法去做，降低自己的要求。</t>
        </is>
      </c>
      <c r="E3130" s="0" t="inlineStr">
        <is>
          <t>nhân nhượng, chiều theo</t>
        </is>
      </c>
      <c r="F3130" s="0" t="inlineStr">
        <is>
          <t>教学生的时候，我不会一味迁就他们不想背单词的想法，该要求的还是要要求。</t>
        </is>
      </c>
      <c r="G3130" s="0" t="inlineStr"/>
      <c r="H3130" s="0" t="inlineStr"/>
    </row>
    <row r="3131">
      <c r="A3131" s="0" t="inlineStr">
        <is>
          <t>Bài 31</t>
        </is>
      </c>
      <c r="B3131" s="0" t="inlineStr">
        <is>
          <t>坚定</t>
        </is>
      </c>
      <c r="C3131" s="0" t="inlineStr">
        <is>
          <t>jiāndìng</t>
        </is>
      </c>
      <c r="D3131" s="0" t="inlineStr">
        <is>
          <t>（信念、态度、立场等）稳定，不会轻易改变。</t>
        </is>
      </c>
      <c r="E3131" s="0" t="inlineStr">
        <is>
          <t>kiên định, vững vàng</t>
        </is>
      </c>
      <c r="F3131" s="0" t="inlineStr">
        <is>
          <t>我下定了坚定的决心，无论多忙，每天都要抽出时间学中文。</t>
        </is>
      </c>
      <c r="G3131" s="0" t="inlineStr"/>
      <c r="H3131" s="0" t="inlineStr"/>
    </row>
    <row r="3132">
      <c r="A3132" s="0" t="inlineStr">
        <is>
          <t>Bài 31</t>
        </is>
      </c>
      <c r="B3132" s="0" t="inlineStr">
        <is>
          <t>坚韧</t>
        </is>
      </c>
      <c r="C3132" s="0" t="inlineStr">
        <is>
          <t>jiānrèn</t>
        </is>
      </c>
      <c r="D3132" s="0" t="inlineStr">
        <is>
          <t>坚固而有韧性，不容易被折断或打倒（多形容意志、精神）。</t>
        </is>
      </c>
      <c r="E3132" s="0" t="inlineStr">
        <is>
          <t>kiên cường, bền bỉ, dẻo dai</t>
        </is>
      </c>
      <c r="F3132" s="0" t="inlineStr">
        <is>
          <t>一个人要想学好一门外语，坚韧的毅力比聪明的头脑更重要。</t>
        </is>
      </c>
      <c r="G3132" s="0" t="inlineStr"/>
      <c r="H3132" s="0" t="inlineStr"/>
    </row>
    <row r="3133">
      <c r="A3133" s="0" t="inlineStr">
        <is>
          <t>Bài 31</t>
        </is>
      </c>
      <c r="B3133" s="0" t="inlineStr">
        <is>
          <t>狠心</t>
        </is>
      </c>
      <c r="C3133" s="0" t="inlineStr">
        <is>
          <t>hěnxīn</t>
        </is>
      </c>
      <c r="D3133" s="0" t="inlineStr">
        <is>
          <t>下定决心不顾一切地（去做某件不容易或不忍心的事）。</t>
        </is>
      </c>
      <c r="E3133" s="0" t="inlineStr">
        <is>
          <t>quyết tâm dứt khoát, cứng rắn với bản thân</t>
        </is>
      </c>
      <c r="F3133" s="0" t="inlineStr">
        <is>
          <t>为了准备HSK6考试，我狠心推掉了很多朋友的聚会邀请，专心复习。</t>
        </is>
      </c>
      <c r="G3133" s="0" t="inlineStr"/>
      <c r="H3133" s="0" t="inlineStr"/>
    </row>
    <row r="3134">
      <c r="A3134" s="0" t="inlineStr">
        <is>
          <t>Bài 31</t>
        </is>
      </c>
      <c r="B3134" s="0" t="inlineStr">
        <is>
          <t>半途而废</t>
        </is>
      </c>
      <c r="C3134" s="0" t="inlineStr">
        <is>
          <t>bàntú'érfèi</t>
        </is>
      </c>
      <c r="D3134" s="0" t="inlineStr">
        <is>
          <t>事情做到一半就停下来，不能坚持到最后。</t>
        </is>
      </c>
      <c r="E3134" s="0" t="inlineStr">
        <is>
          <t>bỏ dở giữa chừng</t>
        </is>
      </c>
      <c r="F3134" s="0" t="inlineStr">
        <is>
          <t>学中文最忌讳半途而废，很多人学了一半觉得难就放弃了，很可惜。</t>
        </is>
      </c>
      <c r="G3134" s="0" t="inlineStr"/>
      <c r="H3134" s="0" t="inlineStr"/>
    </row>
    <row r="3135">
      <c r="A3135" s="0" t="inlineStr">
        <is>
          <t>Bài 31</t>
        </is>
      </c>
      <c r="B3135" s="0" t="inlineStr">
        <is>
          <t>衰退</t>
        </is>
      </c>
      <c r="C3135" s="0" t="inlineStr">
        <is>
          <t>shuāituì</t>
        </is>
      </c>
      <c r="D3135" s="0" t="inlineStr">
        <is>
          <t>（身体、能力、经济等）逐渐变差、变弱。</t>
        </is>
      </c>
      <c r="E3135" s="0" t="inlineStr">
        <is>
          <t>suy thoái, suy giảm</t>
        </is>
      </c>
      <c r="F3135" s="0" t="inlineStr">
        <is>
          <t>好几年不怎么说英语了，我感觉自己的英语口语能力都衰退了。</t>
        </is>
      </c>
      <c r="G3135" s="0" t="inlineStr"/>
      <c r="H3135" s="0" t="inlineStr"/>
    </row>
    <row r="3136">
      <c r="A3136" s="0" t="inlineStr">
        <is>
          <t>Bài 31</t>
        </is>
      </c>
      <c r="B3136" s="0" t="inlineStr">
        <is>
          <t>著作</t>
        </is>
      </c>
      <c r="C3136" s="0" t="inlineStr">
        <is>
          <t>zhùzuò</t>
        </is>
      </c>
      <c r="D3136" s="0" t="inlineStr">
        <is>
          <t>写出来的文章或书，多指有学术或文学价值的作品。</t>
        </is>
      </c>
      <c r="E3136" s="0" t="inlineStr">
        <is>
          <t>trước tác, tác phẩm (sách vở)</t>
        </is>
      </c>
      <c r="F3136" s="0" t="inlineStr">
        <is>
          <t>那位语言学家关于汉语语法的著作，对我教HSK1-3很有帮助。</t>
        </is>
      </c>
      <c r="G3136" s="0" t="inlineStr"/>
      <c r="H3136" s="0" t="inlineStr"/>
    </row>
    <row r="3137">
      <c r="A3137" s="0" t="inlineStr">
        <is>
          <t>Bài 31</t>
        </is>
      </c>
      <c r="B3137" s="0" t="inlineStr">
        <is>
          <t>反射</t>
        </is>
      </c>
      <c r="C3137" s="0" t="inlineStr">
        <is>
          <t>fǎnshè</t>
        </is>
      </c>
      <c r="D3137" s="0" t="inlineStr">
        <is>
          <t>光、声音等碰到物体后又弹回来。</t>
        </is>
      </c>
      <c r="E3137" s="0" t="inlineStr">
        <is>
          <t>phản xạ</t>
        </is>
      </c>
      <c r="F3137" s="0" t="inlineStr">
        <is>
          <t>教室里的白板反射着阳光，有点儿刺眼，我只好把窗帘拉上了。</t>
        </is>
      </c>
      <c r="G3137" s="0" t="inlineStr"/>
      <c r="H3137" s="0" t="inlineStr"/>
    </row>
    <row r="3138">
      <c r="A3138" s="0" t="inlineStr">
        <is>
          <t>Bài 31</t>
        </is>
      </c>
      <c r="B3138" s="0" t="inlineStr">
        <is>
          <t>弱点</t>
        </is>
      </c>
      <c r="C3138" s="0" t="inlineStr">
        <is>
          <t>ruòdiǎn</t>
        </is>
      </c>
      <c r="D3138" s="0" t="inlineStr">
        <is>
          <t>一个人或事物不够好、比较薄弱的地方。</t>
        </is>
      </c>
      <c r="E3138" s="0" t="inlineStr">
        <is>
          <t>điểm yếu, nhược điểm</t>
        </is>
      </c>
      <c r="F3138" s="0" t="inlineStr">
        <is>
          <t>语法是我教学生时发现他们最大的弱点，所以我会多花时间讲练习。</t>
        </is>
      </c>
      <c r="G3138" s="0" t="inlineStr"/>
      <c r="H3138" s="0" t="inlineStr"/>
    </row>
    <row r="3139">
      <c r="A3139" s="0" t="inlineStr">
        <is>
          <t>Bài 31</t>
        </is>
      </c>
      <c r="B3139" s="0" t="inlineStr">
        <is>
          <t>虐待</t>
        </is>
      </c>
      <c r="C3139" s="0" t="inlineStr">
        <is>
          <t>nüèdài</t>
        </is>
      </c>
      <c r="D3139" s="0" t="inlineStr">
        <is>
          <t>用很残忍的方式对待人或动物，让对方受苦。</t>
        </is>
      </c>
      <c r="E3139" s="0" t="inlineStr">
        <is>
          <t>ngược đãi, hành hạ</t>
        </is>
      </c>
      <c r="F3139" s="0" t="inlineStr">
        <is>
          <t>新闻里报道有人虐待宠物，看了让人非常生气。</t>
        </is>
      </c>
      <c r="G3139" s="0" t="inlineStr"/>
      <c r="H3139" s="0" t="inlineStr"/>
    </row>
    <row r="3140">
      <c r="A3140" s="0" t="inlineStr">
        <is>
          <t>Bài 32</t>
        </is>
      </c>
      <c r="B3140" s="0" t="inlineStr">
        <is>
          <t>背叛</t>
        </is>
      </c>
      <c r="C3140" s="0" t="inlineStr">
        <is>
          <t>bèipàn</t>
        </is>
      </c>
      <c r="D3140" s="0" t="inlineStr">
        <is>
          <t>违背原来的承诺或立场，站到对立的一方去。</t>
        </is>
      </c>
      <c r="E3140" s="0" t="inlineStr">
        <is>
          <t>phản bội</t>
        </is>
      </c>
      <c r="F3140" s="0" t="inlineStr">
        <is>
          <t>他为了升职背叛了一起共事多年的同事，这让我很失望。</t>
        </is>
      </c>
      <c r="G3140" s="0" t="inlineStr"/>
      <c r="H3140" s="0" t="inlineStr"/>
    </row>
    <row r="3141">
      <c r="A3141" s="0" t="inlineStr">
        <is>
          <t>Bài 32</t>
        </is>
      </c>
      <c r="B3141" s="0" t="inlineStr">
        <is>
          <t>上进</t>
        </is>
      </c>
      <c r="C3141" s="0" t="inlineStr">
        <is>
          <t>shàngjìn</t>
        </is>
      </c>
      <c r="D3141" s="0" t="inlineStr">
        <is>
          <t>努力向更好的方向发展，不甘落后。</t>
        </is>
      </c>
      <c r="E3141" s="0" t="inlineStr">
        <is>
          <t>cầu tiến, tiến bộ</t>
        </is>
      </c>
      <c r="F3141" s="0" t="inlineStr">
        <is>
          <t>我教的HSK6学生虽然基础一般，但很上进，每天都主动复习生词。</t>
        </is>
      </c>
      <c r="G3141" s="0" t="inlineStr"/>
      <c r="H3141" s="0" t="inlineStr"/>
    </row>
    <row r="3142">
      <c r="A3142" s="0" t="inlineStr">
        <is>
          <t>Bài 32</t>
        </is>
      </c>
      <c r="B3142" s="0" t="inlineStr">
        <is>
          <t>抱负</t>
        </is>
      </c>
      <c r="C3142" s="0" t="inlineStr">
        <is>
          <t>bàofù</t>
        </is>
      </c>
      <c r="D3142" s="0" t="inlineStr">
        <is>
          <t>远大的理想和志向。</t>
        </is>
      </c>
      <c r="E3142" s="0" t="inlineStr">
        <is>
          <t>hoài bão</t>
        </is>
      </c>
      <c r="F3142" s="0" t="inlineStr">
        <is>
          <t>我的抱负是通过HSK6考试，以后能在中国公司里用中文独立完成商务谈判。</t>
        </is>
      </c>
      <c r="G3142" s="0" t="inlineStr"/>
      <c r="H3142" s="0" t="inlineStr"/>
    </row>
    <row r="3143">
      <c r="A3143" s="0" t="inlineStr">
        <is>
          <t>Bài 32</t>
        </is>
      </c>
      <c r="B3143" s="0" t="inlineStr">
        <is>
          <t>魄力</t>
        </is>
      </c>
      <c r="C3143" s="0" t="inlineStr">
        <is>
          <t>pòlì</t>
        </is>
      </c>
      <c r="D3143" s="0" t="inlineStr">
        <is>
          <t>做事果断、有胆量和决断力。</t>
        </is>
      </c>
      <c r="E3143" s="0" t="inlineStr">
        <is>
          <t>khí phách, sự quyết đoán</t>
        </is>
      </c>
      <c r="F3143" s="0" t="inlineStr">
        <is>
          <t>我们公司的中国老板做决定很有魄力，从不拖泥带水。</t>
        </is>
      </c>
      <c r="G3143" s="0" t="inlineStr"/>
      <c r="H3143" s="0" t="inlineStr"/>
    </row>
    <row r="3144">
      <c r="A3144" s="0" t="inlineStr">
        <is>
          <t>Bài 32</t>
        </is>
      </c>
      <c r="B3144" s="0" t="inlineStr">
        <is>
          <t>开阔</t>
        </is>
      </c>
      <c r="C3144" s="0" t="inlineStr">
        <is>
          <t>kāikuò</t>
        </is>
      </c>
      <c r="D3144" s="0" t="inlineStr">
        <is>
          <t>心胸宽广，不计较小事；也指空间宽广。</t>
        </is>
      </c>
      <c r="E3144" s="0" t="inlineStr">
        <is>
          <t>rộng mở, khoáng đạt</t>
        </is>
      </c>
      <c r="F3144" s="0" t="inlineStr">
        <is>
          <t>在中国工作几年后，我的眼界变得比以前开阔多了。</t>
        </is>
      </c>
      <c r="G3144" s="0" t="inlineStr"/>
      <c r="H3144" s="0" t="inlineStr"/>
    </row>
    <row r="3145">
      <c r="A3145" s="0" t="inlineStr">
        <is>
          <t>Bài 32</t>
        </is>
      </c>
      <c r="B3145" s="0" t="inlineStr">
        <is>
          <t>处境</t>
        </is>
      </c>
      <c r="C3145" s="0" t="inlineStr">
        <is>
          <t>chǔjìng</t>
        </is>
      </c>
      <c r="D3145" s="0" t="inlineStr">
        <is>
          <t>所处的境地或状况，多指不利的情况。</t>
        </is>
      </c>
      <c r="E3145" s="0" t="inlineStr">
        <is>
          <t>hoàn cảnh, cảnh ngộ</t>
        </is>
      </c>
      <c r="F3145" s="0" t="inlineStr">
        <is>
          <t>刚到中国工作时，我完全听不懂同事说话，处境很尴尬。</t>
        </is>
      </c>
      <c r="G3145" s="0" t="inlineStr"/>
      <c r="H3145" s="0" t="inlineStr"/>
    </row>
    <row r="3146">
      <c r="A3146" s="0" t="inlineStr">
        <is>
          <t>Bài 32</t>
        </is>
      </c>
      <c r="B3146" s="0" t="inlineStr">
        <is>
          <t>打击</t>
        </is>
      </c>
      <c r="C3146" s="0" t="inlineStr">
        <is>
          <t>dǎjī</t>
        </is>
      </c>
      <c r="D3146" s="0" t="inlineStr">
        <is>
          <t>使受到严重的挫折或伤害。</t>
        </is>
      </c>
      <c r="E3146" s="0" t="inlineStr">
        <is>
          <t>đả kích, giáng đòn</t>
        </is>
      </c>
      <c r="F3146" s="0" t="inlineStr">
        <is>
          <t>第一次HSK6模拟考只考了180分，这对我是不小的打击。</t>
        </is>
      </c>
      <c r="G3146" s="0" t="inlineStr"/>
      <c r="H3146" s="0" t="inlineStr"/>
    </row>
    <row r="3147">
      <c r="A3147" s="0" t="inlineStr">
        <is>
          <t>Bài 32</t>
        </is>
      </c>
      <c r="B3147" s="0" t="inlineStr">
        <is>
          <t>脆弱</t>
        </is>
      </c>
      <c r="C3147" s="0" t="inlineStr">
        <is>
          <t>cuìruò</t>
        </is>
      </c>
      <c r="D3147" s="0" t="inlineStr">
        <is>
          <t>禁不起挫折，意志薄弱。</t>
        </is>
      </c>
      <c r="E3147" s="0" t="inlineStr">
        <is>
          <t>yếu đuối, mong manh</t>
        </is>
      </c>
      <c r="F3147" s="0" t="inlineStr">
        <is>
          <t>教HSK1的孩子时，我发现有的孩子一被批评就哭，心理特别脆弱。</t>
        </is>
      </c>
      <c r="G3147" s="0" t="inlineStr"/>
      <c r="H3147" s="0" t="inlineStr"/>
    </row>
    <row r="3148">
      <c r="A3148" s="0" t="inlineStr">
        <is>
          <t>Bài 32</t>
        </is>
      </c>
      <c r="B3148" s="0" t="inlineStr">
        <is>
          <t>榜样</t>
        </is>
      </c>
      <c r="C3148" s="0" t="inlineStr">
        <is>
          <t>bǎngyàng</t>
        </is>
      </c>
      <c r="D3148" s="0" t="inlineStr">
        <is>
          <t>值得别人学习的好例子。</t>
        </is>
      </c>
      <c r="E3148" s="0" t="inlineStr">
        <is>
          <t>tấm gương</t>
        </is>
      </c>
      <c r="F3148" s="0" t="inlineStr">
        <is>
          <t>那位坚持自学十年中文的网友，是我学习HSK6的榜样。</t>
        </is>
      </c>
      <c r="G3148" s="0" t="inlineStr"/>
      <c r="H3148" s="0" t="inlineStr"/>
    </row>
    <row r="3149">
      <c r="A3149" s="0" t="inlineStr">
        <is>
          <t>Bài 32</t>
        </is>
      </c>
      <c r="B3149" s="0" t="inlineStr">
        <is>
          <t>光彩</t>
        </is>
      </c>
      <c r="C3149" s="0" t="inlineStr">
        <is>
          <t>guāngcǎi</t>
        </is>
      </c>
      <c r="D3149" s="0" t="inlineStr">
        <is>
          <t>光泽色彩，也指光荣、体面。</t>
        </is>
      </c>
      <c r="E3149" s="0" t="inlineStr">
        <is>
          <t>vẻ vang, vinh dự</t>
        </is>
      </c>
      <c r="F3149" s="0" t="inlineStr">
        <is>
          <t>能用中文给中国同事做培训，我觉得特别光彩。</t>
        </is>
      </c>
      <c r="G3149" s="0" t="inlineStr"/>
      <c r="H3149" s="0" t="inlineStr"/>
    </row>
    <row r="3150">
      <c r="A3150" s="0" t="inlineStr">
        <is>
          <t>Bài 32</t>
        </is>
      </c>
      <c r="B3150" s="0" t="inlineStr">
        <is>
          <t>理智</t>
        </is>
      </c>
      <c r="C3150" s="0" t="inlineStr">
        <is>
          <t>lǐzhì</t>
        </is>
      </c>
      <c r="D3150" s="0" t="inlineStr">
        <is>
          <t>能用理性控制自己的情感和行为。</t>
        </is>
      </c>
      <c r="E3150" s="0" t="inlineStr">
        <is>
          <t>lý trí, tỉnh táo</t>
        </is>
      </c>
      <c r="F3150" s="0" t="inlineStr">
        <is>
          <t>面对客户的误解，我尽量保持理智，用中文慢慢解释清楚。</t>
        </is>
      </c>
      <c r="G3150" s="0" t="inlineStr"/>
      <c r="H3150" s="0" t="inlineStr"/>
    </row>
    <row r="3151">
      <c r="A3151" s="0" t="inlineStr">
        <is>
          <t>Bài 32</t>
        </is>
      </c>
      <c r="B3151" s="0" t="inlineStr">
        <is>
          <t>哭泣</t>
        </is>
      </c>
      <c r="C3151" s="0" t="inlineStr">
        <is>
          <t>kūqì</t>
        </is>
      </c>
      <c r="D3151" s="0" t="inlineStr">
        <is>
          <t>因伤心而流泪。</t>
        </is>
      </c>
      <c r="E3151" s="0" t="inlineStr">
        <is>
          <t>khóc</t>
        </is>
      </c>
      <c r="F3151" s="0" t="inlineStr">
        <is>
          <t>收到HSKK没通过的成绩单那天，我一个人在办公室哭泣了很久。</t>
        </is>
      </c>
      <c r="G3151" s="0" t="inlineStr"/>
      <c r="H3151" s="0" t="inlineStr"/>
    </row>
    <row r="3152">
      <c r="A3152" s="0" t="inlineStr">
        <is>
          <t>Bài 32</t>
        </is>
      </c>
      <c r="B3152" s="0" t="inlineStr">
        <is>
          <t>否决</t>
        </is>
      </c>
      <c r="C3152" s="0" t="inlineStr">
        <is>
          <t>fǒujué</t>
        </is>
      </c>
      <c r="D3152" s="0" t="inlineStr">
        <is>
          <t>不同意，使提议不能通过。</t>
        </is>
      </c>
      <c r="E3152" s="0" t="inlineStr">
        <is>
          <t>phủ quyết, bác bỏ</t>
        </is>
      </c>
      <c r="F3152" s="0" t="inlineStr">
        <is>
          <t>我提出的教学计划被中方负责人否决了，因为进度太快。</t>
        </is>
      </c>
      <c r="G3152" s="0" t="inlineStr"/>
      <c r="H3152" s="0" t="inlineStr"/>
    </row>
    <row r="3153">
      <c r="A3153" s="0" t="inlineStr">
        <is>
          <t>Bài 32</t>
        </is>
      </c>
      <c r="B3153" s="0" t="inlineStr">
        <is>
          <t>出息</t>
        </is>
      </c>
      <c r="C3153" s="0" t="inlineStr">
        <is>
          <t>chūxi</t>
        </is>
      </c>
      <c r="D3153" s="0" t="inlineStr">
        <is>
          <t>前途，出路（多用于"有出息"）。</t>
        </is>
      </c>
      <c r="E3153" s="0" t="inlineStr">
        <is>
          <t>tiền đồ, triển vọng</t>
        </is>
      </c>
      <c r="F3153" s="0" t="inlineStr">
        <is>
          <t>妈妈常说，学好中文以后才会有出息。</t>
        </is>
      </c>
      <c r="G3153" s="0" t="inlineStr"/>
      <c r="H3153" s="0" t="inlineStr"/>
    </row>
    <row r="3154">
      <c r="A3154" s="0" t="inlineStr">
        <is>
          <t>Bài 32</t>
        </is>
      </c>
      <c r="B3154" s="0" t="inlineStr">
        <is>
          <t>含糊</t>
        </is>
      </c>
      <c r="C3154" s="0" t="inlineStr">
        <is>
          <t>hánhu</t>
        </is>
      </c>
      <c r="D3154" s="0" t="inlineStr">
        <is>
          <t>不清楚，不明确。</t>
        </is>
      </c>
      <c r="E3154" s="0" t="inlineStr">
        <is>
          <t>mập mờ, không rõ ràng</t>
        </is>
      </c>
      <c r="F3154" s="0" t="inlineStr">
        <is>
          <t>学生问我这个语法点的用法，我不能含糊，得查清楚再回答。</t>
        </is>
      </c>
      <c r="G3154" s="0" t="inlineStr"/>
      <c r="H3154" s="0" t="inlineStr"/>
    </row>
    <row r="3155">
      <c r="A3155" s="0" t="inlineStr">
        <is>
          <t>Bài 32</t>
        </is>
      </c>
      <c r="B3155" s="0" t="inlineStr">
        <is>
          <t>束缚</t>
        </is>
      </c>
      <c r="C3155" s="0" t="inlineStr">
        <is>
          <t>shùfù</t>
        </is>
      </c>
      <c r="D3155" s="0" t="inlineStr">
        <is>
          <t>限制约束，使不能自由行动。</t>
        </is>
      </c>
      <c r="E3155" s="0" t="inlineStr">
        <is>
          <t>ràng buộc, trói buộc</t>
        </is>
      </c>
      <c r="F3155" s="0" t="inlineStr">
        <is>
          <t>刚学中文时，我总被母语的语法习惯束缚，说话很不自然。</t>
        </is>
      </c>
      <c r="G3155" s="0" t="inlineStr"/>
      <c r="H3155" s="0" t="inlineStr"/>
    </row>
    <row r="3156">
      <c r="A3156" s="0" t="inlineStr">
        <is>
          <t>Bài 32</t>
        </is>
      </c>
      <c r="B3156" s="0" t="inlineStr">
        <is>
          <t>魔鬼</t>
        </is>
      </c>
      <c r="C3156" s="0" t="inlineStr">
        <is>
          <t>móguǐ</t>
        </is>
      </c>
      <c r="D3156" s="0" t="inlineStr">
        <is>
          <t>传说中害人的恶鬼，也比喻凶恶的人。</t>
        </is>
      </c>
      <c r="E3156" s="0" t="inlineStr">
        <is>
          <t>ác quỷ, ma quỷ</t>
        </is>
      </c>
      <c r="F3156" s="0" t="inlineStr">
        <is>
          <t>那个中文老师批改作业特别严格，学生私下叫她"魔鬼老师"。</t>
        </is>
      </c>
      <c r="G3156" s="0" t="inlineStr"/>
      <c r="H3156" s="0" t="inlineStr"/>
    </row>
    <row r="3157">
      <c r="A3157" s="0" t="inlineStr">
        <is>
          <t>Bài 32</t>
        </is>
      </c>
      <c r="B3157" s="0" t="inlineStr">
        <is>
          <t>神仙</t>
        </is>
      </c>
      <c r="C3157" s="0" t="inlineStr">
        <is>
          <t>shénxiān</t>
        </is>
      </c>
      <c r="D3157" s="0" t="inlineStr">
        <is>
          <t>神话中长生不老、法力无边的人物。</t>
        </is>
      </c>
      <c r="E3157" s="0" t="inlineStr">
        <is>
          <t>thần tiên</t>
        </is>
      </c>
      <c r="F3157" s="0" t="inlineStr">
        <is>
          <t>给HSK1的孩子们讲神仙的故事，比直接讲语法有意思多了。</t>
        </is>
      </c>
      <c r="G3157" s="0" t="inlineStr"/>
      <c r="H3157" s="0" t="inlineStr"/>
    </row>
    <row r="3158">
      <c r="A3158" s="0" t="inlineStr">
        <is>
          <t>Bài 32</t>
        </is>
      </c>
      <c r="B3158" s="0" t="inlineStr">
        <is>
          <t>健全</t>
        </is>
      </c>
      <c r="C3158" s="0" t="inlineStr">
        <is>
          <t>jiànquán</t>
        </is>
      </c>
      <c r="D3158" s="0" t="inlineStr">
        <is>
          <t>完善，没有缺陷。</t>
        </is>
      </c>
      <c r="E3158" s="0" t="inlineStr">
        <is>
          <t>hoàn thiện, kiện toàn</t>
        </is>
      </c>
      <c r="F3158" s="0" t="inlineStr">
        <is>
          <t>一个健全的学习计划应该包括听说读写四个方面。</t>
        </is>
      </c>
      <c r="G3158" s="0" t="inlineStr"/>
      <c r="H3158" s="0" t="inlineStr"/>
    </row>
    <row r="3159">
      <c r="A3159" s="0" t="inlineStr">
        <is>
          <t>Bài 32</t>
        </is>
      </c>
      <c r="B3159" s="0" t="inlineStr">
        <is>
          <t>塌</t>
        </is>
      </c>
      <c r="C3159" s="0" t="inlineStr">
        <is>
          <t>tā</t>
        </is>
      </c>
      <c r="D3159" s="0" t="inlineStr">
        <is>
          <t>陷下去，倒下来。</t>
        </is>
      </c>
      <c r="E3159" s="0" t="inlineStr">
        <is>
          <t>sập, đổ</t>
        </is>
      </c>
      <c r="F3159" s="0" t="inlineStr">
        <is>
          <t>老家的老房子年久失修，去年台风一来就塌了一角。</t>
        </is>
      </c>
      <c r="G3159" s="0" t="inlineStr"/>
      <c r="H3159" s="0" t="inlineStr"/>
    </row>
    <row r="3160">
      <c r="A3160" s="0" t="inlineStr">
        <is>
          <t>Bài 32</t>
        </is>
      </c>
      <c r="B3160" s="0" t="inlineStr">
        <is>
          <t>反之</t>
        </is>
      </c>
      <c r="C3160" s="0" t="inlineStr">
        <is>
          <t>fǎnzhī</t>
        </is>
      </c>
      <c r="D3160" s="0" t="inlineStr">
        <is>
          <t>与此相反，从相反的方面说。</t>
        </is>
      </c>
      <c r="E3160" s="0" t="inlineStr">
        <is>
          <t>ngược lại</t>
        </is>
      </c>
      <c r="F3160" s="0" t="inlineStr">
        <is>
          <t>每天坚持读课文，中文水平就会进步；反之，三天打鱼两天晒网，很快就会退步。</t>
        </is>
      </c>
      <c r="G3160" s="0" t="inlineStr"/>
      <c r="H3160" s="0" t="inlineStr"/>
    </row>
    <row r="3161">
      <c r="A3161" s="0" t="inlineStr">
        <is>
          <t>Bài 32</t>
        </is>
      </c>
      <c r="B3161" s="0" t="inlineStr">
        <is>
          <t>娃娃</t>
        </is>
      </c>
      <c r="C3161" s="0" t="inlineStr">
        <is>
          <t>wáwa</t>
        </is>
      </c>
      <c r="D3161" s="0" t="inlineStr">
        <is>
          <t>小孩子。</t>
        </is>
      </c>
      <c r="E3161" s="0" t="inlineStr">
        <is>
          <t>em bé, đứa trẻ</t>
        </is>
      </c>
      <c r="F3161" s="0" t="inlineStr">
        <is>
          <t>我教的HSK1班里最小的娃娃才五岁，发音却很标准。</t>
        </is>
      </c>
      <c r="G3161" s="0" t="inlineStr"/>
      <c r="H3161" s="0" t="inlineStr"/>
    </row>
    <row r="3162">
      <c r="A3162" s="0" t="inlineStr">
        <is>
          <t>Bài 32</t>
        </is>
      </c>
      <c r="B3162" s="0" t="inlineStr">
        <is>
          <t>鞭策</t>
        </is>
      </c>
      <c r="C3162" s="0" t="inlineStr">
        <is>
          <t>biāncè</t>
        </is>
      </c>
      <c r="D3162" s="0" t="inlineStr">
        <is>
          <t>用言语或行动督促、激励人进步。</t>
        </is>
      </c>
      <c r="E3162" s="0" t="inlineStr">
        <is>
          <t>thúc đẩy, khích lệ</t>
        </is>
      </c>
      <c r="F3162" s="0" t="inlineStr">
        <is>
          <t>老师严格的要求一直鞭策着我坚持每天背生词。</t>
        </is>
      </c>
      <c r="G3162" s="0" t="inlineStr"/>
      <c r="H3162" s="0" t="inlineStr"/>
    </row>
    <row r="3163">
      <c r="A3163" s="0" t="inlineStr">
        <is>
          <t>Bài 32</t>
        </is>
      </c>
      <c r="B3163" s="0" t="inlineStr">
        <is>
          <t>潜移默化</t>
        </is>
      </c>
      <c r="C3163" s="0" t="inlineStr">
        <is>
          <t>qiányímòhuà</t>
        </is>
      </c>
      <c r="D3163" s="0" t="inlineStr">
        <is>
          <t>在不知不觉中受到影响而发生变化。</t>
        </is>
      </c>
      <c r="E3163" s="0" t="inlineStr">
        <is>
          <t>ảnh hưởng ngấm ngầm, thay đổi dần dần</t>
        </is>
      </c>
      <c r="F3163" s="0" t="inlineStr">
        <is>
          <t>每天和中国同事一起吃饭聊天，我的口语在潜移默化中提高了不少。</t>
        </is>
      </c>
      <c r="G3163" s="0" t="inlineStr"/>
      <c r="H3163" s="0" t="inlineStr"/>
    </row>
    <row r="3164">
      <c r="A3164" s="0" t="inlineStr">
        <is>
          <t>Bài 32</t>
        </is>
      </c>
      <c r="B3164" s="0" t="inlineStr">
        <is>
          <t>赋予</t>
        </is>
      </c>
      <c r="C3164" s="0" t="inlineStr">
        <is>
          <t>fùyǔ</t>
        </is>
      </c>
      <c r="D3164" s="0" t="inlineStr">
        <is>
          <t>交给，给予（多用于重要的责任、意义等）。</t>
        </is>
      </c>
      <c r="E3164" s="0" t="inlineStr">
        <is>
          <t>trao cho, ban cho</t>
        </is>
      </c>
      <c r="F3164" s="0" t="inlineStr">
        <is>
          <t>公司把培训新员工中文的重任赋予了我，我感到既有压力又很荣幸。</t>
        </is>
      </c>
      <c r="G3164" s="0" t="inlineStr"/>
      <c r="H3164" s="0" t="inlineStr"/>
    </row>
    <row r="3165">
      <c r="A3165" s="0" t="inlineStr">
        <is>
          <t>Bài 32</t>
        </is>
      </c>
      <c r="B3165" s="0" t="inlineStr">
        <is>
          <t>鄙视</t>
        </is>
      </c>
      <c r="C3165" s="0" t="inlineStr">
        <is>
          <t>bǐshì</t>
        </is>
      </c>
      <c r="D3165" s="0" t="inlineStr">
        <is>
          <t>轻视，看不起。</t>
        </is>
      </c>
      <c r="E3165" s="0" t="inlineStr">
        <is>
          <t>khinh miệt, coi thường</t>
        </is>
      </c>
      <c r="F3165" s="0" t="inlineStr">
        <is>
          <t>我从不鄙视说错语法的学生，因为犯错才是学习的必经过程。</t>
        </is>
      </c>
      <c r="G3165" s="0" t="inlineStr"/>
      <c r="H3165" s="0" t="inlineStr"/>
    </row>
    <row r="3166">
      <c r="A3166" s="0" t="inlineStr">
        <is>
          <t>Bài 32</t>
        </is>
      </c>
      <c r="B3166" s="0" t="inlineStr">
        <is>
          <t>扮演</t>
        </is>
      </c>
      <c r="C3166" s="0" t="inlineStr">
        <is>
          <t>bànyǎn</t>
        </is>
      </c>
      <c r="D3166" s="0" t="inlineStr">
        <is>
          <t>在戏剧或活动中充当某种角色。</t>
        </is>
      </c>
      <c r="E3166" s="0" t="inlineStr">
        <is>
          <t>đóng vai</t>
        </is>
      </c>
      <c r="F3166" s="0" t="inlineStr">
        <is>
          <t>在HSK1课堂上，我常常扮演不同的角色，跟孩子们做对话练习。</t>
        </is>
      </c>
      <c r="G3166" s="0" t="inlineStr"/>
      <c r="H3166" s="0" t="inlineStr"/>
    </row>
    <row r="3167">
      <c r="A3167" s="0" t="inlineStr">
        <is>
          <t>Bài 32</t>
        </is>
      </c>
      <c r="B3167" s="0" t="inlineStr">
        <is>
          <t>讥笑</t>
        </is>
      </c>
      <c r="C3167" s="0" t="inlineStr">
        <is>
          <t>jīxiào</t>
        </is>
      </c>
      <c r="D3167" s="0" t="inlineStr">
        <is>
          <t>用言语讽刺、嘲笑别人。</t>
        </is>
      </c>
      <c r="E3167" s="0" t="inlineStr">
        <is>
          <t>chế giễu, cười nhạo</t>
        </is>
      </c>
      <c r="F3167" s="0" t="inlineStr">
        <is>
          <t>有些学生因为发音不标准被同学讥笑，从此就越来越不敢开口说中文了。</t>
        </is>
      </c>
      <c r="G3167" s="0" t="inlineStr"/>
      <c r="H3167" s="0" t="inlineStr"/>
    </row>
    <row r="3168">
      <c r="A3168" s="0" t="inlineStr">
        <is>
          <t>Bài 32</t>
        </is>
      </c>
      <c r="B3168" s="0" t="inlineStr">
        <is>
          <t>恶心</t>
        </is>
      </c>
      <c r="C3168" s="0" t="inlineStr">
        <is>
          <t>ěxin</t>
        </is>
      </c>
      <c r="D3168" s="0" t="inlineStr">
        <is>
          <t>使人想呕吐，也指令人厌恶。</t>
        </is>
      </c>
      <c r="E3168" s="0" t="inlineStr">
        <is>
          <t>buồn nôn, ghê tởm</t>
        </is>
      </c>
      <c r="F3168" s="0" t="inlineStr">
        <is>
          <t>第一次吃臭豆腐，那股味道让我觉得有点恶心，可吃惯了反而喜欢。</t>
        </is>
      </c>
      <c r="G3168" s="0" t="inlineStr"/>
      <c r="H3168" s="0" t="inlineStr"/>
    </row>
    <row r="3169">
      <c r="A3169" s="0" t="inlineStr">
        <is>
          <t>Bài 32</t>
        </is>
      </c>
      <c r="B3169" s="0" t="inlineStr">
        <is>
          <t>体面</t>
        </is>
      </c>
      <c r="C3169" s="0" t="inlineStr">
        <is>
          <t>tǐmiàn</t>
        </is>
      </c>
      <c r="D3169" s="0" t="inlineStr">
        <is>
          <t>有面子，光彩；（外表）大方得体。</t>
        </is>
      </c>
      <c r="E3169" s="0" t="inlineStr">
        <is>
          <t>thể diện, đàng hoàng</t>
        </is>
      </c>
      <c r="F3169" s="0" t="inlineStr">
        <is>
          <t>通过HSK6以后，我终于能体面地跟中国客户全程用中文开会了。</t>
        </is>
      </c>
      <c r="G3169" s="0" t="inlineStr"/>
      <c r="H3169" s="0" t="inlineStr"/>
    </row>
    <row r="3170">
      <c r="A3170" s="0" t="inlineStr">
        <is>
          <t>Bài 32</t>
        </is>
      </c>
      <c r="B3170" s="0" t="inlineStr">
        <is>
          <t>激素</t>
        </is>
      </c>
      <c r="C3170" s="0" t="inlineStr">
        <is>
          <t>jīsù</t>
        </is>
      </c>
      <c r="D3170" s="0" t="inlineStr">
        <is>
          <t>生物体内分泌的、能调节生理功能的物质。</t>
        </is>
      </c>
      <c r="E3170" s="0" t="inlineStr">
        <is>
          <t>hormone, kích thích tố</t>
        </is>
      </c>
      <c r="F3170" s="0" t="inlineStr">
        <is>
          <t>压力太大时，身体会分泌一种叫"压力激素"的物质，让人更容易疲劳。</t>
        </is>
      </c>
      <c r="G3170" s="0" t="inlineStr"/>
      <c r="H3170" s="0" t="inlineStr"/>
    </row>
    <row r="3171">
      <c r="A3171" s="0" t="inlineStr">
        <is>
          <t>Bài 32</t>
        </is>
      </c>
      <c r="B3171" s="0" t="inlineStr">
        <is>
          <t>转移</t>
        </is>
      </c>
      <c r="C3171" s="0" t="inlineStr">
        <is>
          <t>zhuǎnyí</t>
        </is>
      </c>
      <c r="D3171" s="0" t="inlineStr">
        <is>
          <t>从一个地方或状态改变到另一个地方或状态。</t>
        </is>
      </c>
      <c r="E3171" s="0" t="inlineStr">
        <is>
          <t>chuyển dời, chuyển hướng</t>
        </is>
      </c>
      <c r="F3171" s="0" t="inlineStr">
        <is>
          <t>考试压力太大的时候，我会把注意力转移到运动上，跑完步心情就好多了。</t>
        </is>
      </c>
      <c r="G3171" s="0" t="inlineStr"/>
      <c r="H3171" s="0" t="inlineStr"/>
    </row>
    <row r="3172">
      <c r="A3172" s="0" t="inlineStr">
        <is>
          <t>Bài 32</t>
        </is>
      </c>
      <c r="B3172" s="0" t="inlineStr">
        <is>
          <t>喉咙</t>
        </is>
      </c>
      <c r="C3172" s="0" t="inlineStr">
        <is>
          <t>hóulóng</t>
        </is>
      </c>
      <c r="D3172" s="0" t="inlineStr">
        <is>
          <t>咽喉，脖子里连接口腔和气管、食道的部位。</t>
        </is>
      </c>
      <c r="E3172" s="0" t="inlineStr">
        <is>
          <t>cổ họng</t>
        </is>
      </c>
      <c r="F3172" s="0" t="inlineStr">
        <is>
          <t>在办公室讲了一天中文，晚上喉咙常常又干又疼。</t>
        </is>
      </c>
      <c r="G3172" s="0" t="inlineStr"/>
      <c r="H3172" s="0" t="inlineStr"/>
    </row>
    <row r="3173">
      <c r="A3173" s="0" t="inlineStr">
        <is>
          <t>Bài 32</t>
        </is>
      </c>
      <c r="B3173" s="0" t="inlineStr">
        <is>
          <t>鼻涕</t>
        </is>
      </c>
      <c r="C3173" s="0" t="inlineStr">
        <is>
          <t>bítì</t>
        </is>
      </c>
      <c r="D3173" s="0" t="inlineStr">
        <is>
          <t>鼻子里分泌的液体。</t>
        </is>
      </c>
      <c r="E3173" s="0" t="inlineStr">
        <is>
          <t>nước mũi</t>
        </is>
      </c>
      <c r="F3173" s="0" t="inlineStr">
        <is>
          <t>北方的冬天太干燥，我一到室外冷风一吹就直流鼻涕。</t>
        </is>
      </c>
      <c r="G3173" s="0" t="inlineStr"/>
      <c r="H3173" s="0" t="inlineStr"/>
    </row>
    <row r="3174">
      <c r="A3174" s="0" t="inlineStr">
        <is>
          <t>Bài 32</t>
        </is>
      </c>
      <c r="B3174" s="0" t="inlineStr">
        <is>
          <t>之际</t>
        </is>
      </c>
      <c r="C3174" s="0" t="inlineStr">
        <is>
          <t>zhījì</t>
        </is>
      </c>
      <c r="D3174" s="0" t="inlineStr">
        <is>
          <t>表示正当某个时刻或阶段的时候，多用于书面语。</t>
        </is>
      </c>
      <c r="E3174" s="0" t="inlineStr">
        <is>
          <t>vào lúc, đúng dịp (thời điểm, văn viết)</t>
        </is>
      </c>
      <c r="F3174" s="0" t="inlineStr">
        <is>
          <t>期末考试之际，我把所有生词都重新整理了一遍。</t>
        </is>
      </c>
      <c r="G3174" s="0" t="inlineStr"/>
      <c r="H3174" s="0" t="inlineStr"/>
    </row>
    <row r="3175">
      <c r="A3175" s="0" t="inlineStr">
        <is>
          <t>Bài 32</t>
        </is>
      </c>
      <c r="B3175" s="0" t="inlineStr">
        <is>
          <t>修复</t>
        </is>
      </c>
      <c r="C3175" s="0" t="inlineStr">
        <is>
          <t>xiūfù</t>
        </is>
      </c>
      <c r="D3175" s="0" t="inlineStr">
        <is>
          <t>修理使恢复原状。</t>
        </is>
      </c>
      <c r="E3175" s="0" t="inlineStr">
        <is>
          <t>phục hồi, sửa chữa</t>
        </is>
      </c>
      <c r="F3175" s="0" t="inlineStr">
        <is>
          <t>说错话伤了同事的心以后，我花了好几天时间才把关系修复好。</t>
        </is>
      </c>
      <c r="G3175" s="0" t="inlineStr"/>
      <c r="H3175" s="0" t="inlineStr"/>
    </row>
    <row r="3176">
      <c r="A3176" s="0" t="inlineStr">
        <is>
          <t>Bài 32</t>
        </is>
      </c>
      <c r="B3176" s="0" t="inlineStr">
        <is>
          <t>宣泄</t>
        </is>
      </c>
      <c r="C3176" s="0" t="inlineStr">
        <is>
          <t>xuānxiè</t>
        </is>
      </c>
      <c r="D3176" s="0" t="inlineStr">
        <is>
          <t>把积压的情绪释放出来。</t>
        </is>
      </c>
      <c r="E3176" s="0" t="inlineStr">
        <is>
          <t>giải tỏa, xả (cảm xúc)</t>
        </is>
      </c>
      <c r="F3176" s="0" t="inlineStr">
        <is>
          <t>工作压力大的时候，我喜欢用写日记的方式宣泄情绪。</t>
        </is>
      </c>
      <c r="G3176" s="0" t="inlineStr"/>
      <c r="H3176" s="0" t="inlineStr"/>
    </row>
    <row r="3177">
      <c r="A3177" s="0" t="inlineStr">
        <is>
          <t>Bài 32</t>
        </is>
      </c>
      <c r="B3177" s="0" t="inlineStr">
        <is>
          <t>许可</t>
        </is>
      </c>
      <c r="C3177" s="0" t="inlineStr">
        <is>
          <t>xǔkě</t>
        </is>
      </c>
      <c r="D3177" s="0" t="inlineStr">
        <is>
          <t>准许，同意（多用于正式、书面场合，也可作名词）。</t>
        </is>
      </c>
      <c r="E3177" s="0" t="inlineStr">
        <is>
          <t>cho phép, giấy phép</t>
        </is>
      </c>
      <c r="F3177" s="0" t="inlineStr">
        <is>
          <t>没有得到公司许可，我们不能随便把客户资料带出办公室。</t>
        </is>
      </c>
      <c r="G3177" s="0" t="inlineStr"/>
      <c r="H3177" s="0" t="inlineStr"/>
    </row>
    <row r="3178">
      <c r="A3178" s="0" t="inlineStr">
        <is>
          <t>Bài 32</t>
        </is>
      </c>
      <c r="B3178" s="0" t="inlineStr">
        <is>
          <t>倡导</t>
        </is>
      </c>
      <c r="C3178" s="0" t="inlineStr">
        <is>
          <t>chàngdǎo</t>
        </is>
      </c>
      <c r="D3178" s="0" t="inlineStr">
        <is>
          <t>首先提出并加以提倡。</t>
        </is>
      </c>
      <c r="E3178" s="0" t="inlineStr">
        <is>
          <t>đề xướng, cổ vũ</t>
        </is>
      </c>
      <c r="F3178" s="0" t="inlineStr">
        <is>
          <t>这家公司一直倡导员工每天抽半小时学一门外语。</t>
        </is>
      </c>
      <c r="G3178" s="0" t="inlineStr"/>
      <c r="H3178" s="0" t="inlineStr"/>
    </row>
    <row r="3179">
      <c r="A3179" s="0" t="inlineStr">
        <is>
          <t>Bài 32</t>
        </is>
      </c>
      <c r="B3179" s="0" t="inlineStr">
        <is>
          <t>情理</t>
        </is>
      </c>
      <c r="C3179" s="0" t="inlineStr">
        <is>
          <t>qínglǐ</t>
        </is>
      </c>
      <c r="D3179" s="0" t="inlineStr">
        <is>
          <t>人之常情和事情的道理。</t>
        </is>
      </c>
      <c r="E3179" s="0" t="inlineStr">
        <is>
          <t>lẽ thường, đạo lý thông thường</t>
        </is>
      </c>
      <c r="F3179" s="0" t="inlineStr">
        <is>
          <t>学生一时听不懂老师讲的语法，这是情理之中的事，不必着急。</t>
        </is>
      </c>
      <c r="G3179" s="0" t="inlineStr"/>
      <c r="H3179" s="0" t="inlineStr"/>
    </row>
    <row r="3180">
      <c r="A3180" s="0" t="inlineStr">
        <is>
          <t>Bài 32</t>
        </is>
      </c>
      <c r="B3180" s="0" t="inlineStr">
        <is>
          <t>允许</t>
        </is>
      </c>
      <c r="C3180" s="0" t="inlineStr">
        <is>
          <t>yǔnxǔ</t>
        </is>
      </c>
      <c r="D3180" s="0" t="inlineStr">
        <is>
          <t>准许，同意（口语中常用，后面可以直接带宾语）。</t>
        </is>
      </c>
      <c r="E3180" s="0" t="inlineStr">
        <is>
          <t>cho phép</t>
        </is>
      </c>
      <c r="F3180" s="0" t="inlineStr">
        <is>
          <t>老师允许我们上课时用手机查生词的意思。</t>
        </is>
      </c>
      <c r="G3180" s="0" t="inlineStr"/>
      <c r="H3180" s="0" t="inlineStr"/>
    </row>
    <row r="3181">
      <c r="A3181" s="0" t="inlineStr">
        <is>
          <t>Bài 33</t>
        </is>
      </c>
      <c r="B3181" s="0" t="inlineStr">
        <is>
          <t>为期</t>
        </is>
      </c>
      <c r="C3181" s="0" t="inlineStr">
        <is>
          <t>wéiqī</t>
        </is>
      </c>
      <c r="D3181" s="0" t="inlineStr">
        <is>
          <t>以某段时间为限度，从开始到结束共经历多长时间。</t>
        </is>
      </c>
      <c r="E3181" s="0" t="inlineStr">
        <is>
          <t>kéo dài trong khoảng (thời hạn là)</t>
        </is>
      </c>
      <c r="F3181" s="0" t="inlineStr">
        <is>
          <t>我报名参加了一个为期三个月的HSK6冲刺班，每天都要交口语作业。</t>
        </is>
      </c>
      <c r="G3181" s="0" t="inlineStr"/>
      <c r="H3181" s="0" t="inlineStr"/>
    </row>
    <row r="3182">
      <c r="A3182" s="0" t="inlineStr">
        <is>
          <t>Bài 33</t>
        </is>
      </c>
      <c r="B3182" s="0" t="inlineStr">
        <is>
          <t>桥梁</t>
        </is>
      </c>
      <c r="C3182" s="0" t="inlineStr">
        <is>
          <t>qiáoliáng</t>
        </is>
      </c>
      <c r="D3182" s="0" t="inlineStr">
        <is>
          <t>架在河流、山谷或道路上方便通行的建筑物；也比喻沟通两者的中间事物。</t>
        </is>
      </c>
      <c r="E3182" s="0" t="inlineStr">
        <is>
          <t>cầu; (nghĩa bóng) cầu nối</t>
        </is>
      </c>
      <c r="F3182" s="0" t="inlineStr">
        <is>
          <t>我常跟中国同事说，语言是文化交流的桥梁，学好汉语能让我更好地融入这里的工作环境。</t>
        </is>
      </c>
      <c r="G3182" s="0" t="inlineStr"/>
      <c r="H3182" s="0" t="inlineStr"/>
    </row>
    <row r="3183">
      <c r="A3183" s="0" t="inlineStr">
        <is>
          <t>Bài 33</t>
        </is>
      </c>
      <c r="B3183" s="0" t="inlineStr">
        <is>
          <t>平原</t>
        </is>
      </c>
      <c r="C3183" s="0" t="inlineStr">
        <is>
          <t>píngyuán</t>
        </is>
      </c>
      <c r="D3183" s="0" t="inlineStr">
        <is>
          <t>地势平坦、面积广阔的陆地。</t>
        </is>
      </c>
      <c r="E3183" s="0" t="inlineStr">
        <is>
          <t>đồng bằng</t>
        </is>
      </c>
      <c r="F3183" s="0" t="inlineStr">
        <is>
          <t>我工作的城市周围都是平原，没有山，所以我周末只能在公园里跑步锻炼。</t>
        </is>
      </c>
      <c r="G3183" s="0" t="inlineStr"/>
      <c r="H3183" s="0" t="inlineStr"/>
    </row>
    <row r="3184">
      <c r="A3184" s="0" t="inlineStr">
        <is>
          <t>Bài 33</t>
        </is>
      </c>
      <c r="B3184" s="0" t="inlineStr">
        <is>
          <t>夹杂</t>
        </is>
      </c>
      <c r="C3184" s="0" t="inlineStr">
        <is>
          <t>jiāzá</t>
        </is>
      </c>
      <c r="D3184" s="0" t="inlineStr">
        <is>
          <t>别的事物混在主要事物里面。</t>
        </is>
      </c>
      <c r="E3184" s="0" t="inlineStr">
        <is>
          <t>pha trộn, lẫn vào</t>
        </is>
      </c>
      <c r="F3184" s="0" t="inlineStr">
        <is>
          <t>我说中文的时候，有时会不自觉地夹杂着一些越南语词，同事听了觉得很有意思。</t>
        </is>
      </c>
      <c r="G3184" s="0" t="inlineStr"/>
      <c r="H3184" s="0" t="inlineStr"/>
    </row>
    <row r="3185">
      <c r="A3185" s="0" t="inlineStr">
        <is>
          <t>Bài 33</t>
        </is>
      </c>
      <c r="B3185" s="0" t="inlineStr">
        <is>
          <t>呼啸</t>
        </is>
      </c>
      <c r="C3185" s="0" t="inlineStr">
        <is>
          <t>hūxiào</t>
        </is>
      </c>
      <c r="D3185" s="0" t="inlineStr">
        <is>
          <t>发出高而长的声音，多形容风、车等。</t>
        </is>
      </c>
      <c r="E3185" s="0" t="inlineStr">
        <is>
          <t>rít lên, gào rú (gió, xe...)</t>
        </is>
      </c>
      <c r="F3185" s="0" t="inlineStr">
        <is>
          <t>冬天在中国北方，寒风呼啸着刮过窗户，我只能裹紧外套去上班。</t>
        </is>
      </c>
      <c r="G3185" s="0" t="inlineStr"/>
      <c r="H3185" s="0" t="inlineStr"/>
    </row>
    <row r="3186">
      <c r="A3186" s="0" t="inlineStr">
        <is>
          <t>Bài 33</t>
        </is>
      </c>
      <c r="B3186" s="0" t="inlineStr">
        <is>
          <t>宽敞</t>
        </is>
      </c>
      <c r="C3186" s="0" t="inlineStr">
        <is>
          <t>kuānchang</t>
        </is>
      </c>
      <c r="D3186" s="0" t="inlineStr">
        <is>
          <t>地方很大，不狭窄。</t>
        </is>
      </c>
      <c r="E3186" s="0" t="inlineStr">
        <is>
          <t>rộng rãi</t>
        </is>
      </c>
      <c r="F3186" s="0" t="inlineStr">
        <is>
          <t>我们公司新办公室很宽敞，光线也好，我每天备课教HSK1-3的学生都很有心情。</t>
        </is>
      </c>
      <c r="G3186" s="0" t="inlineStr"/>
      <c r="H3186" s="0" t="inlineStr"/>
    </row>
    <row r="3187">
      <c r="A3187" s="0" t="inlineStr">
        <is>
          <t>Bài 33</t>
        </is>
      </c>
      <c r="B3187" s="0" t="inlineStr">
        <is>
          <t>齐全</t>
        </is>
      </c>
      <c r="C3187" s="0" t="inlineStr">
        <is>
          <t>qíquán</t>
        </is>
      </c>
      <c r="D3187" s="0" t="inlineStr">
        <is>
          <t>应该有的东西都有，一样不缺。</t>
        </is>
      </c>
      <c r="E3187" s="0" t="inlineStr">
        <is>
          <t>đầy đủ, hoàn chỉnh</t>
        </is>
      </c>
      <c r="F3187" s="0" t="inlineStr">
        <is>
          <t>我教HSK1的教材和教具都很齐全，学生学拼音的时候用起来很方便。</t>
        </is>
      </c>
      <c r="G3187" s="0" t="inlineStr"/>
      <c r="H3187" s="0" t="inlineStr"/>
    </row>
    <row r="3188">
      <c r="A3188" s="0" t="inlineStr">
        <is>
          <t>Bài 33</t>
        </is>
      </c>
      <c r="B3188" s="0" t="inlineStr">
        <is>
          <t>封闭</t>
        </is>
      </c>
      <c r="C3188" s="0" t="inlineStr">
        <is>
          <t>fēngbì</t>
        </is>
      </c>
      <c r="D3188" s="0" t="inlineStr">
        <is>
          <t>与外界隔绝，不让通行或接触。</t>
        </is>
      </c>
      <c r="E3188" s="0" t="inlineStr">
        <is>
          <t>đóng kín, bế quan</t>
        </is>
      </c>
      <c r="F3188" s="0" t="inlineStr">
        <is>
          <t>备考HSK6的最后一周，我把手机封闭起来，专心刷真题。</t>
        </is>
      </c>
      <c r="G3188" s="0" t="inlineStr"/>
      <c r="H3188" s="0" t="inlineStr"/>
    </row>
    <row r="3189">
      <c r="A3189" s="0" t="inlineStr">
        <is>
          <t>Bài 33</t>
        </is>
      </c>
      <c r="B3189" s="0" t="inlineStr">
        <is>
          <t>符号</t>
        </is>
      </c>
      <c r="C3189" s="0" t="inlineStr">
        <is>
          <t>fúhào</t>
        </is>
      </c>
      <c r="D3189" s="0" t="inlineStr">
        <is>
          <t>记录、表示某种意义的记号或标志。</t>
        </is>
      </c>
      <c r="E3189" s="0" t="inlineStr">
        <is>
          <t>ký hiệu</t>
        </is>
      </c>
      <c r="F3189" s="0" t="inlineStr">
        <is>
          <t>拼音里的声调符号我教了很多遍，学生还是容易把二声和三声搞混。</t>
        </is>
      </c>
      <c r="G3189" s="0" t="inlineStr"/>
      <c r="H3189" s="0" t="inlineStr"/>
    </row>
    <row r="3190">
      <c r="A3190" s="0" t="inlineStr">
        <is>
          <t>Bài 33</t>
        </is>
      </c>
      <c r="B3190" s="0" t="inlineStr">
        <is>
          <t>喧哗</t>
        </is>
      </c>
      <c r="C3190" s="0" t="inlineStr">
        <is>
          <t>xuānhuá</t>
        </is>
      </c>
      <c r="D3190" s="0" t="inlineStr">
        <is>
          <t>声音大而杂乱。</t>
        </is>
      </c>
      <c r="E3190" s="0" t="inlineStr">
        <is>
          <t>ồn ào, huyên náo</t>
        </is>
      </c>
      <c r="F3190" s="0" t="inlineStr">
        <is>
          <t>办公室太喧哗的时候，我就戴上耳机听HSK6听力真题，练耳朵也顺便屏蔽噪音。</t>
        </is>
      </c>
      <c r="G3190" s="0" t="inlineStr"/>
      <c r="H3190" s="0" t="inlineStr"/>
    </row>
    <row r="3191">
      <c r="A3191" s="0" t="inlineStr">
        <is>
          <t>Bài 33</t>
        </is>
      </c>
      <c r="B3191" s="0" t="inlineStr">
        <is>
          <t>威风</t>
        </is>
      </c>
      <c r="C3191" s="0" t="inlineStr">
        <is>
          <t>wēifēng</t>
        </is>
      </c>
      <c r="D3191" s="0" t="inlineStr">
        <is>
          <t>使人敬畏、令人佩服的气势。</t>
        </is>
      </c>
      <c r="E3191" s="0" t="inlineStr">
        <is>
          <t>oai phong, uy phong</t>
        </is>
      </c>
      <c r="F3191" s="0" t="inlineStr">
        <is>
          <t>我教的一个HSK3小朋友说，学好汉语以后可以像电视里的将军一样威风，特别可爱。</t>
        </is>
      </c>
      <c r="G3191" s="0" t="inlineStr"/>
      <c r="H3191" s="0" t="inlineStr"/>
    </row>
    <row r="3192">
      <c r="A3192" s="0" t="inlineStr">
        <is>
          <t>Bài 33</t>
        </is>
      </c>
      <c r="B3192" s="0" t="inlineStr">
        <is>
          <t>演绎</t>
        </is>
      </c>
      <c r="C3192" s="0" t="inlineStr">
        <is>
          <t>yǎnyì</t>
        </is>
      </c>
      <c r="D3192" s="0" t="inlineStr">
        <is>
          <t>展现、表演出来；也指由一般原理推出个别结论。</t>
        </is>
      </c>
      <c r="E3192" s="0" t="inlineStr">
        <is>
          <t>diễn giải, diễn xuất</t>
        </is>
      </c>
      <c r="F3192" s="0" t="inlineStr">
        <is>
          <t>这部电视剧演绎了一个普通中国家庭三代人的故事，我常拿来当口语课的听力材料。</t>
        </is>
      </c>
      <c r="G3192" s="0" t="inlineStr"/>
      <c r="H3192" s="0" t="inlineStr"/>
    </row>
    <row r="3193">
      <c r="A3193" s="0" t="inlineStr">
        <is>
          <t>Bài 33</t>
        </is>
      </c>
      <c r="B3193" s="0" t="inlineStr">
        <is>
          <t>不屑一顾</t>
        </is>
      </c>
      <c r="C3193" s="0" t="inlineStr">
        <is>
          <t>búxièyígù</t>
        </is>
      </c>
      <c r="D3193" s="0" t="inlineStr">
        <is>
          <t>认为不值得一看，形容非常轻视。</t>
        </is>
      </c>
      <c r="E3193" s="0" t="inlineStr">
        <is>
          <t>coi thường, chẳng thèm để mắt tới</t>
        </is>
      </c>
      <c r="F3193" s="0" t="inlineStr">
        <is>
          <t>以前我对语法书不屑一顾，觉得靠语感就够了，考了几次HSK6作文才发现是自己太天真。</t>
        </is>
      </c>
      <c r="G3193" s="0" t="inlineStr"/>
      <c r="H3193" s="0" t="inlineStr"/>
    </row>
    <row r="3194">
      <c r="A3194" s="0" t="inlineStr">
        <is>
          <t>Bài 33</t>
        </is>
      </c>
      <c r="B3194" s="0" t="inlineStr">
        <is>
          <t>电源</t>
        </is>
      </c>
      <c r="C3194" s="0" t="inlineStr">
        <is>
          <t>diànyuán</t>
        </is>
      </c>
      <c r="D3194" s="0" t="inlineStr">
        <is>
          <t>供电的来源，如插座、电池等。</t>
        </is>
      </c>
      <c r="E3194" s="0" t="inlineStr">
        <is>
          <t>nguồn điện</t>
        </is>
      </c>
      <c r="F3194" s="0" t="inlineStr">
        <is>
          <t>出差去中国上课前，我一定检查行李箱里有没有带转换插头，不然笔记本电脑找不到电源就麻烦了。</t>
        </is>
      </c>
      <c r="G3194" s="0" t="inlineStr"/>
      <c r="H3194" s="0" t="inlineStr"/>
    </row>
    <row r="3195">
      <c r="A3195" s="0" t="inlineStr">
        <is>
          <t>Bài 33</t>
        </is>
      </c>
      <c r="B3195" s="0" t="inlineStr">
        <is>
          <t>闭塞</t>
        </is>
      </c>
      <c r="C3195" s="0" t="inlineStr">
        <is>
          <t>bìsè</t>
        </is>
      </c>
      <c r="D3195" s="0" t="inlineStr">
        <is>
          <t>交通不便，信息不流通。</t>
        </is>
      </c>
      <c r="E3195" s="0" t="inlineStr">
        <is>
          <t>hẻo lánh, bế tắc (giao thông/thông tin)</t>
        </is>
      </c>
      <c r="F3195" s="0" t="inlineStr">
        <is>
          <t>我第一次去的那个中国小城市有点闭塞，手机信号很差，反而让我认真复习了一整天HSK6词汇。</t>
        </is>
      </c>
      <c r="G3195" s="0" t="inlineStr"/>
      <c r="H3195" s="0" t="inlineStr"/>
    </row>
    <row r="3196">
      <c r="A3196" s="0" t="inlineStr">
        <is>
          <t>Bài 33</t>
        </is>
      </c>
      <c r="B3196" s="0" t="inlineStr">
        <is>
          <t>久违</t>
        </is>
      </c>
      <c r="C3196" s="0" t="inlineStr">
        <is>
          <t>jiǔwéi</t>
        </is>
      </c>
      <c r="D3196" s="0" t="inlineStr">
        <is>
          <t>长时间没有见面或没有接触。</t>
        </is>
      </c>
      <c r="E3196" s="0" t="inlineStr">
        <is>
          <t>đã lâu không gặp/không có</t>
        </is>
      </c>
      <c r="F3196" s="0" t="inlineStr">
        <is>
          <t>上完HSK6课，我和久违的中国老同事视频聊天，久违的乡音让我特别开心。</t>
        </is>
      </c>
      <c r="G3196" s="0" t="inlineStr"/>
      <c r="H3196" s="0" t="inlineStr"/>
    </row>
    <row r="3197">
      <c r="A3197" s="0" t="inlineStr">
        <is>
          <t>Bài 33</t>
        </is>
      </c>
      <c r="B3197" s="0" t="inlineStr">
        <is>
          <t>正义</t>
        </is>
      </c>
      <c r="C3197" s="0" t="inlineStr">
        <is>
          <t>zhèngyì</t>
        </is>
      </c>
      <c r="D3197" s="0" t="inlineStr">
        <is>
          <t>公正、公平，符合道理和良心。</t>
        </is>
      </c>
      <c r="E3197" s="0" t="inlineStr">
        <is>
          <t>chính nghĩa, công lý</t>
        </is>
      </c>
      <c r="F3197" s="0" t="inlineStr">
        <is>
          <t>我给HSK3学生讲“正义”这个词的时候，用了动画片里英雄打坏人的例子，他们一下子就理解了。</t>
        </is>
      </c>
      <c r="G3197" s="0" t="inlineStr"/>
      <c r="H3197" s="0" t="inlineStr"/>
    </row>
    <row r="3198">
      <c r="A3198" s="0" t="inlineStr">
        <is>
          <t>Bài 33</t>
        </is>
      </c>
      <c r="B3198" s="0" t="inlineStr">
        <is>
          <t>见义勇为</t>
        </is>
      </c>
      <c r="C3198" s="0" t="inlineStr">
        <is>
          <t>jiànyìyǒngwéi</t>
        </is>
      </c>
      <c r="D3198" s="0" t="inlineStr">
        <is>
          <t>看到正义的事情，勇敢地去做。</t>
        </is>
      </c>
      <c r="E3198" s="0" t="inlineStr">
        <is>
          <t>thấy việc nghĩa thì dũng cảm ra tay</t>
        </is>
      </c>
      <c r="F3198" s="0" t="inlineStr">
        <is>
          <t>我看到一段新闻，一位路人见义勇为救了落水的孩子，就把这个当作HSK6写作的素材讲给学生听。</t>
        </is>
      </c>
      <c r="G3198" s="0" t="inlineStr"/>
      <c r="H3198" s="0" t="inlineStr"/>
    </row>
    <row r="3199">
      <c r="A3199" s="0" t="inlineStr">
        <is>
          <t>Bài 33</t>
        </is>
      </c>
      <c r="B3199" s="0" t="inlineStr">
        <is>
          <t>洪水</t>
        </is>
      </c>
      <c r="C3199" s="0" t="inlineStr">
        <is>
          <t>hóngshuǐ</t>
        </is>
      </c>
      <c r="D3199" s="0" t="inlineStr">
        <is>
          <t>因大雨或江河泛滥而形成的大水。</t>
        </is>
      </c>
      <c r="E3199" s="0" t="inlineStr">
        <is>
          <t>lũ lụt, nước lũ</t>
        </is>
      </c>
      <c r="F3199" s="0" t="inlineStr">
        <is>
          <t>去年南方发洪水的新闻，我剪了一段当作HSK6听力理解的补充材料。</t>
        </is>
      </c>
      <c r="G3199" s="0" t="inlineStr"/>
      <c r="H3199" s="0" t="inlineStr"/>
    </row>
    <row r="3200">
      <c r="A3200" s="0" t="inlineStr">
        <is>
          <t>Bài 33</t>
        </is>
      </c>
      <c r="B3200" s="0" t="inlineStr">
        <is>
          <t>英勇</t>
        </is>
      </c>
      <c r="C3200" s="0" t="inlineStr">
        <is>
          <t>yīngyǒng</t>
        </is>
      </c>
      <c r="D3200" s="0" t="inlineStr">
        <is>
          <t>勇敢出色，不怕危险。</t>
        </is>
      </c>
      <c r="E3200" s="0" t="inlineStr">
        <is>
          <t>anh dũng, dũng cảm</t>
        </is>
      </c>
      <c r="F3200" s="0" t="inlineStr">
        <is>
          <t>消防员英勇救火的视频，我常用来教HSK1-3的学生“勇敢”这个话题的词汇。</t>
        </is>
      </c>
      <c r="G3200" s="0" t="inlineStr"/>
      <c r="H3200" s="0" t="inlineStr"/>
    </row>
    <row r="3201">
      <c r="A3201" s="0" t="inlineStr">
        <is>
          <t>Bài 33</t>
        </is>
      </c>
      <c r="B3201" s="0" t="inlineStr">
        <is>
          <t>贵族</t>
        </is>
      </c>
      <c r="C3201" s="0" t="inlineStr">
        <is>
          <t>guìzú</t>
        </is>
      </c>
      <c r="D3201" s="0" t="inlineStr">
        <is>
          <t>社会上享有特权的上层阶级。</t>
        </is>
      </c>
      <c r="E3201" s="0" t="inlineStr">
        <is>
          <t>quý tộc</t>
        </is>
      </c>
      <c r="F3201" s="0" t="inlineStr">
        <is>
          <t>我跟学生开玩笑说，学好汉语以后去中国点菜都不用看图片了，感觉自己像语言贵族一样自信。</t>
        </is>
      </c>
      <c r="G3201" s="0" t="inlineStr"/>
      <c r="H3201" s="0" t="inlineStr"/>
    </row>
    <row r="3202">
      <c r="A3202" s="0" t="inlineStr">
        <is>
          <t>Bài 33</t>
        </is>
      </c>
      <c r="B3202" s="0" t="inlineStr">
        <is>
          <t>播种</t>
        </is>
      </c>
      <c r="C3202" s="0" t="inlineStr">
        <is>
          <t>bōzhǒng</t>
        </is>
      </c>
      <c r="D3202" s="0" t="inlineStr">
        <is>
          <t>把种子撒到土地里。</t>
        </is>
      </c>
      <c r="E3202" s="0" t="inlineStr">
        <is>
          <t>gieo hạt, gieo trồng</t>
        </is>
      </c>
      <c r="F3202" s="0" t="inlineStr">
        <is>
          <t>我常跟自己说，学外语就像播种，每天背几个词，慢慢才能等到HSK6高分的收获。</t>
        </is>
      </c>
      <c r="G3202" s="0" t="inlineStr"/>
      <c r="H3202" s="0" t="inlineStr"/>
    </row>
    <row r="3203">
      <c r="A3203" s="0" t="inlineStr">
        <is>
          <t>Bài 33</t>
        </is>
      </c>
      <c r="B3203" s="0" t="inlineStr">
        <is>
          <t>承包</t>
        </is>
      </c>
      <c r="C3203" s="0" t="inlineStr">
        <is>
          <t>chéngbāo</t>
        </is>
      </c>
      <c r="D3203" s="0" t="inlineStr">
        <is>
          <t>依照合同承担、完成某项工作的任务。</t>
        </is>
      </c>
      <c r="E3203" s="0" t="inlineStr">
        <is>
          <t>nhận thầu, nhận khoán</t>
        </is>
      </c>
      <c r="F3203" s="0" t="inlineStr">
        <is>
          <t>这学期的HSK1-3口语课全部由我一个人承包，工作量不小，但很有成就感。</t>
        </is>
      </c>
      <c r="G3203" s="0" t="inlineStr"/>
      <c r="H3203" s="0" t="inlineStr"/>
    </row>
    <row r="3204">
      <c r="A3204" s="0" t="inlineStr">
        <is>
          <t>Bài 33</t>
        </is>
      </c>
      <c r="B3204" s="0" t="inlineStr">
        <is>
          <t>方言</t>
        </is>
      </c>
      <c r="C3204" s="0" t="inlineStr">
        <is>
          <t>fāngyán</t>
        </is>
      </c>
      <c r="D3204" s="0" t="inlineStr">
        <is>
          <t>一个地区特有的、跟标准语不完全相同的语言。</t>
        </is>
      </c>
      <c r="E3204" s="0" t="inlineStr">
        <is>
          <t>phương ngữ, tiếng địa phương</t>
        </is>
      </c>
      <c r="F3204" s="0" t="inlineStr">
        <is>
          <t>我工作的城市同事说话夹杂很重的方言，刚开始我只能听懂普通话，现在慢慢也能猜出几句方言了。</t>
        </is>
      </c>
      <c r="G3204" s="0" t="inlineStr"/>
      <c r="H3204" s="0" t="inlineStr"/>
    </row>
    <row r="3205">
      <c r="A3205" s="0" t="inlineStr">
        <is>
          <t>Bài 33</t>
        </is>
      </c>
      <c r="B3205" s="0" t="inlineStr">
        <is>
          <t>捣乱</t>
        </is>
      </c>
      <c r="C3205" s="0" t="inlineStr">
        <is>
          <t>dǎoluàn</t>
        </is>
      </c>
      <c r="D3205" s="0" t="inlineStr">
        <is>
          <t>故意扰乱秩序，找麻烦。</t>
        </is>
      </c>
      <c r="E3205" s="0" t="inlineStr">
        <is>
          <t>quấy phá, gây rối</t>
        </is>
      </c>
      <c r="F3205" s="0" t="inlineStr">
        <is>
          <t>我教HSK1的小朋友上课有时会捣乱，我就用游戏的方式把他们的注意力拉回来。</t>
        </is>
      </c>
      <c r="G3205" s="0" t="inlineStr"/>
      <c r="H3205" s="0" t="inlineStr"/>
    </row>
    <row r="3206">
      <c r="A3206" s="0" t="inlineStr">
        <is>
          <t>Bài 33</t>
        </is>
      </c>
      <c r="B3206" s="0" t="inlineStr">
        <is>
          <t>狼狈</t>
        </is>
      </c>
      <c r="C3206" s="0" t="inlineStr">
        <is>
          <t>lángbèi</t>
        </is>
      </c>
      <c r="D3206" s="0" t="inlineStr">
        <is>
          <t>形容非常窘迫、难堪的样子。</t>
        </is>
      </c>
      <c r="E3206" s="0" t="inlineStr">
        <is>
          <t>lúng túng, thảm hại</t>
        </is>
      </c>
      <c r="F3206" s="0" t="inlineStr">
        <is>
          <t>我第一次用中文做HSK6口头报告，紧张得说错好几个词，狼狈极了。</t>
        </is>
      </c>
      <c r="G3206" s="0" t="inlineStr"/>
      <c r="H3206" s="0" t="inlineStr"/>
    </row>
    <row r="3207">
      <c r="A3207" s="0" t="inlineStr">
        <is>
          <t>Bài 33</t>
        </is>
      </c>
      <c r="B3207" s="0" t="inlineStr">
        <is>
          <t>幼稚</t>
        </is>
      </c>
      <c r="C3207" s="0" t="inlineStr">
        <is>
          <t>yòuzhì</t>
        </is>
      </c>
      <c r="D3207" s="0" t="inlineStr">
        <is>
          <t>年纪小，思想或做法简单、不成熟。</t>
        </is>
      </c>
      <c r="E3207" s="0" t="inlineStr">
        <is>
          <t>ấu trĩ, non nớt</t>
        </is>
      </c>
      <c r="F3207" s="0" t="inlineStr">
        <is>
          <t>现在回头看自己刚学汉语时写的日记，觉得那些想法真幼稚，但也挺可爱的。</t>
        </is>
      </c>
      <c r="G3207" s="0" t="inlineStr"/>
      <c r="H3207" s="0" t="inlineStr"/>
    </row>
    <row r="3208">
      <c r="A3208" s="0" t="inlineStr">
        <is>
          <t>Bài 33</t>
        </is>
      </c>
      <c r="B3208" s="0" t="inlineStr">
        <is>
          <t>双胞胎</t>
        </is>
      </c>
      <c r="C3208" s="0" t="inlineStr">
        <is>
          <t>shuāngbāotāi</t>
        </is>
      </c>
      <c r="D3208" s="0" t="inlineStr">
        <is>
          <t>同一次出生的两个孩子。</t>
        </is>
      </c>
      <c r="E3208" s="0" t="inlineStr">
        <is>
          <t>cặp song sinh</t>
        </is>
      </c>
      <c r="F3208" s="0" t="inlineStr">
        <is>
          <t>我教的学生里有一对双胞胎姐妹，两人的汉语水平差不多，考HSK3都是一次就过。</t>
        </is>
      </c>
      <c r="G3208" s="0" t="inlineStr"/>
      <c r="H3208" s="0" t="inlineStr"/>
    </row>
    <row r="3209">
      <c r="A3209" s="0" t="inlineStr">
        <is>
          <t>Bài 33</t>
        </is>
      </c>
      <c r="B3209" s="0" t="inlineStr">
        <is>
          <t>家常</t>
        </is>
      </c>
      <c r="C3209" s="0" t="inlineStr">
        <is>
          <t>jiācháng</t>
        </is>
      </c>
      <c r="D3209" s="0" t="inlineStr">
        <is>
          <t>家庭日常生活中的琐事。</t>
        </is>
      </c>
      <c r="E3209" s="0" t="inlineStr">
        <is>
          <t>chuyện thường ngày (trong gia đình)</t>
        </is>
      </c>
      <c r="F3209" s="0" t="inlineStr">
        <is>
          <t>下课后我常跟中国同事聊家常，这也是我练口语最自然的机会。</t>
        </is>
      </c>
      <c r="G3209" s="0" t="inlineStr"/>
      <c r="H3209" s="0" t="inlineStr"/>
    </row>
    <row r="3210">
      <c r="A3210" s="0" t="inlineStr">
        <is>
          <t>Bài 33</t>
        </is>
      </c>
      <c r="B3210" s="0" t="inlineStr">
        <is>
          <t>回顾</t>
        </is>
      </c>
      <c r="C3210" s="0" t="inlineStr">
        <is>
          <t>huígù</t>
        </is>
      </c>
      <c r="D3210" s="0" t="inlineStr">
        <is>
          <t>回过头来看过去发生的事情。</t>
        </is>
      </c>
      <c r="E3210" s="0" t="inlineStr">
        <is>
          <t>hồi tưởng, nhìn lại</t>
        </is>
      </c>
      <c r="F3210" s="0" t="inlineStr">
        <is>
          <t>每次考完HSK6，我都会回顾自己这段时间的学习计划，看看哪里还需要调整。</t>
        </is>
      </c>
      <c r="G3210" s="0" t="inlineStr"/>
      <c r="H3210" s="0" t="inlineStr"/>
    </row>
    <row r="3211">
      <c r="A3211" s="0" t="inlineStr">
        <is>
          <t>Bài 33</t>
        </is>
      </c>
      <c r="B3211" s="0" t="inlineStr">
        <is>
          <t>往事</t>
        </is>
      </c>
      <c r="C3211" s="0" t="inlineStr">
        <is>
          <t>wǎngshì</t>
        </is>
      </c>
      <c r="D3211" s="0" t="inlineStr">
        <is>
          <t>过去发生的事情。</t>
        </is>
      </c>
      <c r="E3211" s="0" t="inlineStr">
        <is>
          <t>chuyện xưa, chuyện đã qua</t>
        </is>
      </c>
      <c r="F3211" s="0" t="inlineStr">
        <is>
          <t>跟中国朋友聊起刚来工作时闹的笑话，那些往事现在想起来都觉得好笑。</t>
        </is>
      </c>
      <c r="G3211" s="0" t="inlineStr"/>
      <c r="H3211" s="0" t="inlineStr"/>
    </row>
    <row r="3212">
      <c r="A3212" s="0" t="inlineStr">
        <is>
          <t>Bài 33</t>
        </is>
      </c>
      <c r="B3212" s="0" t="inlineStr">
        <is>
          <t>方圆</t>
        </is>
      </c>
      <c r="C3212" s="0" t="inlineStr">
        <is>
          <t>fāngyuán</t>
        </is>
      </c>
      <c r="D3212" s="0" t="inlineStr">
        <is>
          <t>周围一定范围的地区。</t>
        </is>
      </c>
      <c r="E3212" s="0" t="inlineStr">
        <is>
          <t>chu vi, xung quanh (trong phạm vi)</t>
        </is>
      </c>
      <c r="F3212" s="0" t="inlineStr">
        <is>
          <t>我住的小区方圆几公里内就有三所汉语培训学校，竞争很激烈。</t>
        </is>
      </c>
      <c r="G3212" s="0" t="inlineStr"/>
      <c r="H3212" s="0" t="inlineStr"/>
    </row>
    <row r="3213">
      <c r="A3213" s="0" t="inlineStr">
        <is>
          <t>Bài 33</t>
        </is>
      </c>
      <c r="B3213" s="0" t="inlineStr">
        <is>
          <t>爆炸</t>
        </is>
      </c>
      <c r="C3213" s="0" t="inlineStr">
        <is>
          <t>bàozhà</t>
        </is>
      </c>
      <c r="D3213" s="0" t="inlineStr">
        <is>
          <t>物体因剧烈反应而突然破裂、发出巨响。</t>
        </is>
      </c>
      <c r="E3213" s="0" t="inlineStr">
        <is>
          <t>nổ, bùng nổ</t>
        </is>
      </c>
      <c r="F3213" s="0" t="inlineStr">
        <is>
          <t>我用“信息爆炸”这个词给HSK6学生讲现代生活的话题，他们都能举出自己的例子。</t>
        </is>
      </c>
      <c r="G3213" s="0" t="inlineStr"/>
      <c r="H3213" s="0" t="inlineStr"/>
    </row>
    <row r="3214">
      <c r="A3214" s="0" t="inlineStr">
        <is>
          <t>Bài 33</t>
        </is>
      </c>
      <c r="B3214" s="0" t="inlineStr">
        <is>
          <t>对联</t>
        </is>
      </c>
      <c r="C3214" s="0" t="inlineStr">
        <is>
          <t>duìlián</t>
        </is>
      </c>
      <c r="D3214" s="0" t="inlineStr">
        <is>
          <t>春节等场合贴在门两边、字数相等、意思相对的两句话。</t>
        </is>
      </c>
      <c r="E3214" s="0" t="inlineStr">
        <is>
          <t>câu đối</t>
        </is>
      </c>
      <c r="F3214" s="0" t="inlineStr">
        <is>
          <t>今年春节，中国同事教我写对联，我这才知道上联下联还要平仄相对，学问不小。</t>
        </is>
      </c>
      <c r="G3214" s="0" t="inlineStr"/>
      <c r="H3214" s="0" t="inlineStr"/>
    </row>
    <row r="3215">
      <c r="A3215" s="0" t="inlineStr">
        <is>
          <t>Bài 33</t>
        </is>
      </c>
      <c r="B3215" s="0" t="inlineStr">
        <is>
          <t>拜年</t>
        </is>
      </c>
      <c r="C3215" s="0" t="inlineStr">
        <is>
          <t>bàinián</t>
        </is>
      </c>
      <c r="D3215" s="0" t="inlineStr">
        <is>
          <t>春节时向长辈或亲友祝贺新年。</t>
        </is>
      </c>
      <c r="E3215" s="0" t="inlineStr">
        <is>
          <t>chúc Tết, đi chúc Tết</t>
        </is>
      </c>
      <c r="F3215" s="0" t="inlineStr">
        <is>
          <t>在中国工作的第一个春节，我跟着同事去给他父母拜年，学到了不少年俗用语。</t>
        </is>
      </c>
      <c r="G3215" s="0" t="inlineStr"/>
      <c r="H3215" s="0" t="inlineStr"/>
    </row>
    <row r="3216">
      <c r="A3216" s="0" t="inlineStr">
        <is>
          <t>Bài 33</t>
        </is>
      </c>
      <c r="B3216" s="0" t="inlineStr">
        <is>
          <t>元宵节</t>
        </is>
      </c>
      <c r="C3216" s="0" t="inlineStr">
        <is>
          <t>yuánxiāojié</t>
        </is>
      </c>
      <c r="D3216" s="0" t="inlineStr">
        <is>
          <t>农历正月十五的传统节日，有吃元宵、看花灯的习俗。</t>
        </is>
      </c>
      <c r="E3216" s="0" t="inlineStr">
        <is>
          <t>Tết Nguyên tiêu</t>
        </is>
      </c>
      <c r="F3216" s="0" t="inlineStr">
        <is>
          <t>元宵节那天办公室发了汤圆，同事顺便教我用汉语说“团团圆圆”祝福大家。</t>
        </is>
      </c>
      <c r="G3216" s="0" t="inlineStr"/>
      <c r="H3216" s="0" t="inlineStr"/>
    </row>
    <row r="3217">
      <c r="A3217" s="0" t="inlineStr">
        <is>
          <t>Bài 33</t>
        </is>
      </c>
      <c r="B3217" s="0" t="inlineStr">
        <is>
          <t>天伦之乐</t>
        </is>
      </c>
      <c r="C3217" s="0" t="inlineStr">
        <is>
          <t>tiānlúnzhīlè</t>
        </is>
      </c>
      <c r="D3217" s="0" t="inlineStr">
        <is>
          <t>家人团聚在一起享受的快乐。</t>
        </is>
      </c>
      <c r="E3217" s="0" t="inlineStr">
        <is>
          <t>niềm vui sum vầy gia đình</t>
        </is>
      </c>
      <c r="F3217" s="0" t="inlineStr">
        <is>
          <t>每次视频通话看到家人围坐吃饭，我都特别想念那种天伦之乐的感觉。</t>
        </is>
      </c>
      <c r="G3217" s="0" t="inlineStr"/>
      <c r="H3217" s="0" t="inlineStr"/>
    </row>
    <row r="3218">
      <c r="A3218" s="0" t="inlineStr">
        <is>
          <t>Bài 33</t>
        </is>
      </c>
      <c r="B3218" s="0" t="inlineStr">
        <is>
          <t>正月</t>
        </is>
      </c>
      <c r="C3218" s="0" t="inlineStr">
        <is>
          <t>zhēngyuè</t>
        </is>
      </c>
      <c r="D3218" s="0" t="inlineStr">
        <is>
          <t>农历一年的第一个月。</t>
        </is>
      </c>
      <c r="E3218" s="0" t="inlineStr">
        <is>
          <t>tháng Giêng (âm lịch)</t>
        </is>
      </c>
      <c r="F3218" s="0" t="inlineStr">
        <is>
          <t>中国同事告诉我，正月十五之前很多店铺还没正式开工，我备课的时候要提前问清楚放假安排。</t>
        </is>
      </c>
      <c r="G3218" s="0" t="inlineStr"/>
      <c r="H3218" s="0" t="inlineStr"/>
    </row>
    <row r="3219">
      <c r="A3219" s="0" t="inlineStr">
        <is>
          <t>Bài 33</t>
        </is>
      </c>
      <c r="B3219" s="0" t="inlineStr">
        <is>
          <t>寺庙</t>
        </is>
      </c>
      <c r="C3219" s="0" t="inlineStr">
        <is>
          <t>sìmiào</t>
        </is>
      </c>
      <c r="D3219" s="0" t="inlineStr">
        <is>
          <t>供奉神佛、供人祭拜的建筑。</t>
        </is>
      </c>
      <c r="E3219" s="0" t="inlineStr">
        <is>
          <t>chùa, đền, miếu</t>
        </is>
      </c>
      <c r="F3219" s="0" t="inlineStr">
        <is>
          <t>周末我常去附近的寺庙走走，顺便跟卖香的老人练几句方言。</t>
        </is>
      </c>
      <c r="G3219" s="0" t="inlineStr"/>
      <c r="H3219" s="0" t="inlineStr"/>
    </row>
    <row r="3220">
      <c r="A3220" s="0" t="inlineStr">
        <is>
          <t>Bài 33</t>
        </is>
      </c>
      <c r="B3220" s="0" t="inlineStr">
        <is>
          <t>眼神</t>
        </is>
      </c>
      <c r="C3220" s="0" t="inlineStr">
        <is>
          <t>yǎnshén</t>
        </is>
      </c>
      <c r="D3220" s="0" t="inlineStr">
        <is>
          <t>眼睛的神态，表达出的表情或含义。</t>
        </is>
      </c>
      <c r="E3220" s="0" t="inlineStr">
        <is>
          <t>ánh mắt, thần thái của mắt</t>
        </is>
      </c>
      <c r="F3220" s="0" t="inlineStr">
        <is>
          <t>学生答不出HSK6口语题的时候，眼神里都是紧张，我就先让他们放松深呼吸。</t>
        </is>
      </c>
      <c r="G3220" s="0" t="inlineStr"/>
      <c r="H3220" s="0" t="inlineStr"/>
    </row>
    <row r="3221">
      <c r="A3221" s="0" t="inlineStr">
        <is>
          <t>Bài 33</t>
        </is>
      </c>
      <c r="B3221" s="0" t="inlineStr">
        <is>
          <t>新郎</t>
        </is>
      </c>
      <c r="C3221" s="0" t="inlineStr">
        <is>
          <t>xīnláng</t>
        </is>
      </c>
      <c r="D3221" s="0" t="inlineStr">
        <is>
          <t>结婚仪式上的男方。</t>
        </is>
      </c>
      <c r="E3221" s="0" t="inlineStr">
        <is>
          <t>chú rể</t>
        </is>
      </c>
      <c r="F3221" s="0" t="inlineStr">
        <is>
          <t>参加中国同事的婚礼，我才知道新郎接亲的时候还要回答伴娘团出的各种问题，特别有意思。</t>
        </is>
      </c>
      <c r="G3221" s="0" t="inlineStr"/>
      <c r="H3221" s="0" t="inlineStr"/>
    </row>
    <row r="3222">
      <c r="A3222" s="0" t="inlineStr">
        <is>
          <t>Bài 33</t>
        </is>
      </c>
      <c r="B3222" s="0" t="inlineStr">
        <is>
          <t>新娘</t>
        </is>
      </c>
      <c r="C3222" s="0" t="inlineStr">
        <is>
          <t>xīnniáng</t>
        </is>
      </c>
      <c r="D3222" s="0" t="inlineStr">
        <is>
          <t>结婚仪式上的女方。</t>
        </is>
      </c>
      <c r="E3222" s="0" t="inlineStr">
        <is>
          <t>cô dâu</t>
        </is>
      </c>
      <c r="F3222" s="0" t="inlineStr">
        <is>
          <t>那天婚礼上新娘穿着红色的中式礼服，特别好看，我趁机学了不少婚俗词汇。</t>
        </is>
      </c>
      <c r="G3222" s="0" t="inlineStr"/>
      <c r="H3222" s="0" t="inlineStr"/>
    </row>
    <row r="3223">
      <c r="A3223" s="0" t="inlineStr">
        <is>
          <t>Bài 33</t>
        </is>
      </c>
      <c r="B3223" s="0" t="inlineStr">
        <is>
          <t>响应</t>
        </is>
      </c>
      <c r="C3223" s="0" t="inlineStr">
        <is>
          <t>xiǎngyìng</t>
        </is>
      </c>
      <c r="D3223" s="0" t="inlineStr">
        <is>
          <t>对别人的号召、倡议做出反应，表示支持。</t>
        </is>
      </c>
      <c r="E3223" s="0" t="inlineStr">
        <is>
          <t>hưởng ứng, đáp lại</t>
        </is>
      </c>
      <c r="F3223" s="0" t="inlineStr">
        <is>
          <t>学校号召大家参加中文演讲比赛，我响应报了名，也顺便逼自己练一次公开表达。</t>
        </is>
      </c>
      <c r="G3223" s="0" t="inlineStr"/>
      <c r="H3223" s="0" t="inlineStr"/>
    </row>
    <row r="3224">
      <c r="A3224" s="0" t="inlineStr">
        <is>
          <t>Bài 33</t>
        </is>
      </c>
      <c r="B3224" s="0" t="inlineStr">
        <is>
          <t>社区</t>
        </is>
      </c>
      <c r="C3224" s="0" t="inlineStr">
        <is>
          <t>shèqū</t>
        </is>
      </c>
      <c r="D3224" s="0" t="inlineStr">
        <is>
          <t>共同居住在一个地区、有共同生活联系的一群人。</t>
        </is>
      </c>
      <c r="E3224" s="0" t="inlineStr">
        <is>
          <t>khu dân cư, cộng đồng dân cư</t>
        </is>
      </c>
      <c r="F3224" s="0" t="inlineStr">
        <is>
          <t>我住的社区每个月都会组织中文角活动，附近不少外国人都来参加。</t>
        </is>
      </c>
      <c r="G3224" s="0" t="inlineStr"/>
      <c r="H3224" s="0" t="inlineStr"/>
    </row>
    <row r="3225">
      <c r="A3225" s="0" t="inlineStr">
        <is>
          <t>Bài 33</t>
        </is>
      </c>
      <c r="B3225" s="0" t="inlineStr">
        <is>
          <t>物业</t>
        </is>
      </c>
      <c r="C3225" s="0" t="inlineStr">
        <is>
          <t>wùyè</t>
        </is>
      </c>
      <c r="D3225" s="0" t="inlineStr">
        <is>
          <t>负责管理小区、大楼日常事务的机构或人员。</t>
        </is>
      </c>
      <c r="E3225" s="0" t="inlineStr">
        <is>
          <t>(đơn vị) quản lý tòa nhà</t>
        </is>
      </c>
      <c r="F3225" s="0" t="inlineStr">
        <is>
          <t>家里的暖气坏了，我打电话给物业，用汉语说清楚问题，物业师傅当天就来修了。</t>
        </is>
      </c>
      <c r="G3225" s="0" t="inlineStr"/>
      <c r="H3225" s="0" t="inlineStr"/>
    </row>
    <row r="3226">
      <c r="A3226" s="0" t="inlineStr">
        <is>
          <t>Bài 33</t>
        </is>
      </c>
      <c r="B3226" s="0" t="inlineStr">
        <is>
          <t>媳妇</t>
        </is>
      </c>
      <c r="C3226" s="0" t="inlineStr">
        <is>
          <t>xífù</t>
        </is>
      </c>
      <c r="D3226" s="0" t="inlineStr">
        <is>
          <t>儿子的妻子；口语中也指自己的妻子。</t>
        </is>
      </c>
      <c r="E3226" s="0" t="inlineStr">
        <is>
          <t>con dâu; (khẩu ngữ) vợ</t>
        </is>
      </c>
      <c r="F3226" s="0" t="inlineStr">
        <is>
          <t>同事总跟我夸他媳妇做的饭好吃，听得我都想跟他学几道家常菜的说法。</t>
        </is>
      </c>
      <c r="G3226" s="0" t="inlineStr"/>
      <c r="H3226" s="0" t="inlineStr"/>
    </row>
    <row r="3227">
      <c r="A3227" s="0" t="inlineStr">
        <is>
          <t>Bài 33</t>
        </is>
      </c>
      <c r="B3227" s="0" t="inlineStr">
        <is>
          <t>贤惠</t>
        </is>
      </c>
      <c r="C3227" s="0" t="inlineStr">
        <is>
          <t>xiánhuì</t>
        </is>
      </c>
      <c r="D3227" s="0" t="inlineStr">
        <is>
          <t>形容女性心地善良、通情达理、善于持家。</t>
        </is>
      </c>
      <c r="E3227" s="0" t="inlineStr">
        <is>
          <t>hiền thục, đảm đang</t>
        </is>
      </c>
      <c r="F3227" s="0" t="inlineStr">
        <is>
          <t>同事总说他媳妇既贤惠又能干，家里家外都照顾得很好，这也是我学到的一个常用夸人词。</t>
        </is>
      </c>
      <c r="G3227" s="0" t="inlineStr"/>
      <c r="H3227" s="0" t="inlineStr"/>
    </row>
    <row r="3228">
      <c r="A3228" s="0" t="inlineStr">
        <is>
          <t>Bài 33</t>
        </is>
      </c>
      <c r="B3228" s="0" t="inlineStr">
        <is>
          <t>现场</t>
        </is>
      </c>
      <c r="C3228" s="0" t="inlineStr">
        <is>
          <t>xiànchǎng</t>
        </is>
      </c>
      <c r="D3228" s="0" t="inlineStr">
        <is>
          <t>事情发生的地点，强调场地本身，后边常跟名词。</t>
        </is>
      </c>
      <c r="E3228" s="0" t="inlineStr">
        <is>
          <t>hiện trường, tại chỗ (địa điểm)</t>
        </is>
      </c>
      <c r="F3228" s="0" t="inlineStr">
        <is>
          <t>上周公司请了一位汉语老师现场教发音，我们几个同事都跟着现场练习。</t>
        </is>
      </c>
      <c r="G3228" s="0" t="inlineStr"/>
      <c r="H3228" s="0" t="inlineStr"/>
    </row>
    <row r="3229">
      <c r="A3229" s="0" t="inlineStr">
        <is>
          <t>Bài 34</t>
        </is>
      </c>
      <c r="B3229" s="0" t="inlineStr">
        <is>
          <t>霞</t>
        </is>
      </c>
      <c r="C3229" s="0" t="inlineStr">
        <is>
          <t>xiá</t>
        </is>
      </c>
      <c r="D3229" s="0" t="inlineStr">
        <is>
          <t>日出或日落前后天空中出现的彩色云。</t>
        </is>
      </c>
      <c r="E3229" s="0" t="inlineStr">
        <is>
          <t>ráng mây (ráng chiều, ráng sáng)</t>
        </is>
      </c>
      <c r="F3229" s="0" t="inlineStr">
        <is>
          <t>我每天早上去中文中心的路上，都能看到满天的朝霞，心情特别好。</t>
        </is>
      </c>
      <c r="G3229" s="0" t="inlineStr"/>
      <c r="H3229" s="0" t="inlineStr"/>
    </row>
    <row r="3230">
      <c r="A3230" s="0" t="inlineStr">
        <is>
          <t>Bài 34</t>
        </is>
      </c>
      <c r="B3230" s="0" t="inlineStr">
        <is>
          <t>朴素</t>
        </is>
      </c>
      <c r="C3230" s="0" t="inlineStr">
        <is>
          <t>pǔsù</t>
        </is>
      </c>
      <c r="D3230" s="0" t="inlineStr">
        <is>
          <t>生活简单，不奢侈，不讲究穿着打扮。</t>
        </is>
      </c>
      <c r="E3230" s="0" t="inlineStr">
        <is>
          <t>giản dị, mộc mạc</t>
        </is>
      </c>
      <c r="F3230" s="0" t="inlineStr">
        <is>
          <t>我教HSK1-3的时候，尽量用朴素的语言解释语法，让学生容易理解。</t>
        </is>
      </c>
      <c r="G3230" s="0" t="inlineStr"/>
      <c r="H3230" s="0" t="inlineStr"/>
    </row>
    <row r="3231">
      <c r="A3231" s="0" t="inlineStr">
        <is>
          <t>Bài 34</t>
        </is>
      </c>
      <c r="B3231" s="0" t="inlineStr">
        <is>
          <t>温和</t>
        </is>
      </c>
      <c r="C3231" s="0" t="inlineStr">
        <is>
          <t>wēnhé</t>
        </is>
      </c>
      <c r="D3231" s="0" t="inlineStr">
        <is>
          <t>（性情、态度、语言）不严厉，使人感到亲切；也可指气候不冷不热。</t>
        </is>
      </c>
      <c r="E3231" s="0" t="inlineStr">
        <is>
          <t>ôn hòa (tính cách/khí hậu)</t>
        </is>
      </c>
      <c r="F3231" s="0" t="inlineStr">
        <is>
          <t>我发现中国同事对新人说话都很温和，这让我在陌生的工作环境里没那么紧张。</t>
        </is>
      </c>
      <c r="G3231" s="0" t="inlineStr"/>
      <c r="H3231" s="0" t="inlineStr"/>
    </row>
    <row r="3232">
      <c r="A3232" s="0" t="inlineStr">
        <is>
          <t>Bài 34</t>
        </is>
      </c>
      <c r="B3232" s="0" t="inlineStr">
        <is>
          <t>颠簸</t>
        </is>
      </c>
      <c r="C3232" s="0" t="inlineStr">
        <is>
          <t>diānbǒ</t>
        </is>
      </c>
      <c r="D3232" s="0" t="inlineStr">
        <is>
          <t>（车、船等）上下震动，不平稳。</t>
        </is>
      </c>
      <c r="E3232" s="0" t="inlineStr">
        <is>
          <t>xóc nảy, chòng chành</t>
        </is>
      </c>
      <c r="F3232" s="0" t="inlineStr">
        <is>
          <t>从我住的地方到公司要坐一个小时的公交车，路上颠簸得厉害，我经常利用这段时间背HSK6生词。</t>
        </is>
      </c>
      <c r="G3232" s="0" t="inlineStr"/>
      <c r="H3232" s="0" t="inlineStr"/>
    </row>
    <row r="3233">
      <c r="A3233" s="0" t="inlineStr">
        <is>
          <t>Bài 34</t>
        </is>
      </c>
      <c r="B3233" s="0" t="inlineStr">
        <is>
          <t>巷</t>
        </is>
      </c>
      <c r="C3233" s="0" t="inlineStr">
        <is>
          <t>xiàng</t>
        </is>
      </c>
      <c r="D3233" s="0" t="inlineStr">
        <is>
          <t>城市或乡镇中比较窄的街道。</t>
        </is>
      </c>
      <c r="E3233" s="0" t="inlineStr">
        <is>
          <t>ngõ, hẻm</t>
        </is>
      </c>
      <c r="F3233" s="0" t="inlineStr">
        <is>
          <t>我住的小区旁边有一条老巷子，周末我常常去那儿的小店买早饭。</t>
        </is>
      </c>
      <c r="G3233" s="0" t="inlineStr"/>
      <c r="H3233" s="0" t="inlineStr"/>
    </row>
    <row r="3234">
      <c r="A3234" s="0" t="inlineStr">
        <is>
          <t>Bài 34</t>
        </is>
      </c>
      <c r="B3234" s="0" t="inlineStr">
        <is>
          <t>陶瓷</t>
        </is>
      </c>
      <c r="C3234" s="0" t="inlineStr">
        <is>
          <t>táocí</t>
        </is>
      </c>
      <c r="D3234" s="0" t="inlineStr">
        <is>
          <t>陶器和瓷器的统称。</t>
        </is>
      </c>
      <c r="E3234" s="0" t="inlineStr">
        <is>
          <t>đồ gốm sứ</t>
        </is>
      </c>
      <c r="F3234" s="0" t="inlineStr">
        <is>
          <t>上次去景德镇旅游，我买了几件陶瓷茶具，打算送给教我中文的老师。</t>
        </is>
      </c>
      <c r="G3234" s="0" t="inlineStr"/>
      <c r="H3234" s="0" t="inlineStr"/>
    </row>
    <row r="3235">
      <c r="A3235" s="0" t="inlineStr">
        <is>
          <t>Bài 34</t>
        </is>
      </c>
      <c r="B3235" s="0" t="inlineStr">
        <is>
          <t>收藏</t>
        </is>
      </c>
      <c r="C3235" s="0" t="inlineStr">
        <is>
          <t>shōucáng</t>
        </is>
      </c>
      <c r="D3235" s="0" t="inlineStr">
        <is>
          <t>收集并保存有价值的东西。</t>
        </is>
      </c>
      <c r="E3235" s="0" t="inlineStr">
        <is>
          <t>sưu tầm, cất giữ</t>
        </is>
      </c>
      <c r="F3235" s="0" t="inlineStr">
        <is>
          <t>我的房东是个收藏爱好者，家里收藏了不少老照片和邮票。</t>
        </is>
      </c>
      <c r="G3235" s="0" t="inlineStr"/>
      <c r="H3235" s="0" t="inlineStr"/>
    </row>
    <row r="3236">
      <c r="A3236" s="0" t="inlineStr">
        <is>
          <t>Bài 34</t>
        </is>
      </c>
      <c r="B3236" s="0" t="inlineStr">
        <is>
          <t>鉴定</t>
        </is>
      </c>
      <c r="C3236" s="0" t="inlineStr">
        <is>
          <t>jiàndìng</t>
        </is>
      </c>
      <c r="D3236" s="0" t="inlineStr">
        <is>
          <t>通过科学方法辨别事物的真假、好坏或年代。</t>
        </is>
      </c>
      <c r="E3236" s="0" t="inlineStr">
        <is>
          <t>giám định, thẩm định</t>
        </is>
      </c>
      <c r="F3236" s="0" t="inlineStr">
        <is>
          <t>为了准备HSK6考试，我经常请中国朋友帮我鉴定我写的作文有没有语法错误。</t>
        </is>
      </c>
      <c r="G3236" s="0" t="inlineStr"/>
      <c r="H3236" s="0" t="inlineStr"/>
    </row>
    <row r="3237">
      <c r="A3237" s="0" t="inlineStr">
        <is>
          <t>Bài 34</t>
        </is>
      </c>
      <c r="B3237" s="0" t="inlineStr">
        <is>
          <t>无偿</t>
        </is>
      </c>
      <c r="C3237" s="0" t="inlineStr">
        <is>
          <t>wúcháng</t>
        </is>
      </c>
      <c r="D3237" s="0" t="inlineStr">
        <is>
          <t>不要报酬，不收取费用。</t>
        </is>
      </c>
      <c r="E3237" s="0" t="inlineStr">
        <is>
          <t>vô thường, miễn phí</t>
        </is>
      </c>
      <c r="F3237" s="0" t="inlineStr">
        <is>
          <t>我在语言交换活动上无偿教中国朋友学越南语，他们也教我中文。</t>
        </is>
      </c>
      <c r="G3237" s="0" t="inlineStr"/>
      <c r="H3237" s="0" t="inlineStr"/>
    </row>
    <row r="3238">
      <c r="A3238" s="0" t="inlineStr">
        <is>
          <t>Bài 34</t>
        </is>
      </c>
      <c r="B3238" s="0" t="inlineStr">
        <is>
          <t>赠送</t>
        </is>
      </c>
      <c r="C3238" s="0" t="inlineStr">
        <is>
          <t>zèngsòng</t>
        </is>
      </c>
      <c r="D3238" s="0" t="inlineStr">
        <is>
          <t>无代价地把东西送给别人。</t>
        </is>
      </c>
      <c r="E3238" s="0" t="inlineStr">
        <is>
          <t>tặng, biếu</t>
        </is>
      </c>
      <c r="F3238" s="0" t="inlineStr">
        <is>
          <t>我通过HSK6考试后，打算把自己整理的生词笔记赠送给下一届的学生。</t>
        </is>
      </c>
      <c r="G3238" s="0" t="inlineStr"/>
      <c r="H3238" s="0" t="inlineStr"/>
    </row>
    <row r="3239">
      <c r="A3239" s="0" t="inlineStr">
        <is>
          <t>Bài 34</t>
        </is>
      </c>
      <c r="B3239" s="0" t="inlineStr">
        <is>
          <t>络绎不绝</t>
        </is>
      </c>
      <c r="C3239" s="0" t="inlineStr">
        <is>
          <t>luòyìbùjué</t>
        </is>
      </c>
      <c r="D3239" s="0" t="inlineStr">
        <is>
          <t>形容行人、车马等前后相连，来往不断。</t>
        </is>
      </c>
      <c r="E3239" s="0" t="inlineStr">
        <is>
          <t>nườm nượp không dứt</t>
        </is>
      </c>
      <c r="F3239" s="0" t="inlineStr">
        <is>
          <t>每次学校放假的时候，来我们汉语角报名的学生都络绎不绝。</t>
        </is>
      </c>
      <c r="G3239" s="0" t="inlineStr"/>
      <c r="H3239" s="0" t="inlineStr"/>
    </row>
    <row r="3240">
      <c r="A3240" s="0" t="inlineStr">
        <is>
          <t>Bài 34</t>
        </is>
      </c>
      <c r="B3240" s="0" t="inlineStr">
        <is>
          <t>文物</t>
        </is>
      </c>
      <c r="C3240" s="0" t="inlineStr">
        <is>
          <t>wénwù</t>
        </is>
      </c>
      <c r="D3240" s="0" t="inlineStr">
        <is>
          <t>历史遗留下来的、在文化发展史上有价值的东西。</t>
        </is>
      </c>
      <c r="E3240" s="0" t="inlineStr">
        <is>
          <t>văn vật, di vật văn hóa</t>
        </is>
      </c>
      <c r="F3240" s="0" t="inlineStr">
        <is>
          <t>我周末常去博物馆看文物展览，顺便练习用中文给自己讲解历史背景。</t>
        </is>
      </c>
      <c r="G3240" s="0" t="inlineStr"/>
      <c r="H3240" s="0" t="inlineStr"/>
    </row>
    <row r="3241">
      <c r="A3241" s="0" t="inlineStr">
        <is>
          <t>Bài 34</t>
        </is>
      </c>
      <c r="B3241" s="0" t="inlineStr">
        <is>
          <t>同志</t>
        </is>
      </c>
      <c r="C3241" s="0" t="inlineStr">
        <is>
          <t>tóngzhì</t>
        </is>
      </c>
      <c r="D3241" s="0" t="inlineStr">
        <is>
          <t>为共同理想而奋斗的人，也用作对人的称呼。</t>
        </is>
      </c>
      <c r="E3241" s="0" t="inlineStr">
        <is>
          <t>đồng chí</t>
        </is>
      </c>
      <c r="F3241" s="0" t="inlineStr">
        <is>
          <t>我们公司里的中国同事互相开玩笑时，也会用“同志”来称呼对方，挺有意思的。</t>
        </is>
      </c>
      <c r="G3241" s="0" t="inlineStr"/>
      <c r="H3241" s="0" t="inlineStr"/>
    </row>
    <row r="3242">
      <c r="A3242" s="0" t="inlineStr">
        <is>
          <t>Bài 34</t>
        </is>
      </c>
      <c r="B3242" s="0" t="inlineStr">
        <is>
          <t>打包</t>
        </is>
      </c>
      <c r="C3242" s="0" t="inlineStr">
        <is>
          <t>dǎbāo</t>
        </is>
      </c>
      <c r="D3242" s="0" t="inlineStr">
        <is>
          <t>把东西包装起来；也指把没吃完的食物包装带走。</t>
        </is>
      </c>
      <c r="E3242" s="0" t="inlineStr">
        <is>
          <t>đóng gói, gói mang về</t>
        </is>
      </c>
      <c r="F3242" s="0" t="inlineStr">
        <is>
          <t>在中国吃饭如果吃不完，我会不好意思地请服务员帮我打包带走。</t>
        </is>
      </c>
      <c r="G3242" s="0" t="inlineStr"/>
      <c r="H3242" s="0" t="inlineStr"/>
    </row>
    <row r="3243">
      <c r="A3243" s="0" t="inlineStr">
        <is>
          <t>Bài 34</t>
        </is>
      </c>
      <c r="B3243" s="0" t="inlineStr">
        <is>
          <t>搭配</t>
        </is>
      </c>
      <c r="C3243" s="0" t="inlineStr">
        <is>
          <t>dāpèi</t>
        </is>
      </c>
      <c r="D3243" s="0" t="inlineStr">
        <is>
          <t>按一定的要求安排、配合。</t>
        </is>
      </c>
      <c r="E3243" s="0" t="inlineStr">
        <is>
          <t>phối hợp, kết hợp</t>
        </is>
      </c>
      <c r="F3243" s="0" t="inlineStr">
        <is>
          <t>备考HSK6的时候，我把语法和口语练习搭配起来学，效果比单独背语法好多了。</t>
        </is>
      </c>
      <c r="G3243" s="0" t="inlineStr"/>
      <c r="H3243" s="0" t="inlineStr"/>
    </row>
    <row r="3244">
      <c r="A3244" s="0" t="inlineStr">
        <is>
          <t>Bài 34</t>
        </is>
      </c>
      <c r="B3244" s="0" t="inlineStr">
        <is>
          <t>图案</t>
        </is>
      </c>
      <c r="C3244" s="0" t="inlineStr">
        <is>
          <t>tú'àn</t>
        </is>
      </c>
      <c r="D3244" s="0" t="inlineStr">
        <is>
          <t>有装饰意味的花纹或图形。</t>
        </is>
      </c>
      <c r="E3244" s="0" t="inlineStr">
        <is>
          <t>hoa văn, họa tiết</t>
        </is>
      </c>
      <c r="F3244" s="0" t="inlineStr">
        <is>
          <t>我给HSK1的小朋友设计生词卡片时，喜欢加一些简单的图案帮助他们记忆。</t>
        </is>
      </c>
      <c r="G3244" s="0" t="inlineStr"/>
      <c r="H3244" s="0" t="inlineStr"/>
    </row>
    <row r="3245">
      <c r="A3245" s="0" t="inlineStr">
        <is>
          <t>Bài 34</t>
        </is>
      </c>
      <c r="B3245" s="0" t="inlineStr">
        <is>
          <t>威望</t>
        </is>
      </c>
      <c r="C3245" s="0" t="inlineStr">
        <is>
          <t>wēiwàng</t>
        </is>
      </c>
      <c r="D3245" s="0" t="inlineStr">
        <is>
          <t>使人信服的名声和地位。</t>
        </is>
      </c>
      <c r="E3245" s="0" t="inlineStr">
        <is>
          <t>uy tín, uy vọng</t>
        </is>
      </c>
      <c r="F3245" s="0" t="inlineStr">
        <is>
          <t>那位教了三十年中文的老师在我们学校很有威望，学生都很尊敬她。</t>
        </is>
      </c>
      <c r="G3245" s="0" t="inlineStr"/>
      <c r="H3245" s="0" t="inlineStr"/>
    </row>
    <row r="3246">
      <c r="A3246" s="0" t="inlineStr">
        <is>
          <t>Bài 34</t>
        </is>
      </c>
      <c r="B3246" s="0" t="inlineStr">
        <is>
          <t>吝啬</t>
        </is>
      </c>
      <c r="C3246" s="0" t="inlineStr">
        <is>
          <t>lìnsè</t>
        </is>
      </c>
      <c r="D3246" s="0" t="inlineStr">
        <is>
          <t>过分爱惜自己的财物，不肯拿出来帮助别人。</t>
        </is>
      </c>
      <c r="E3246" s="0" t="inlineStr">
        <is>
          <t>keo kiệt, hà tiện</t>
        </is>
      </c>
      <c r="F3246" s="0" t="inlineStr">
        <is>
          <t>我室友对钱很吝啬，但在买中文书和字典上却从不吝啬。</t>
        </is>
      </c>
      <c r="G3246" s="0" t="inlineStr"/>
      <c r="H3246" s="0" t="inlineStr"/>
    </row>
    <row r="3247">
      <c r="A3247" s="0" t="inlineStr">
        <is>
          <t>Bài 34</t>
        </is>
      </c>
      <c r="B3247" s="0" t="inlineStr">
        <is>
          <t>尚且</t>
        </is>
      </c>
      <c r="C3247" s="0" t="inlineStr">
        <is>
          <t>shàngqiě</t>
        </is>
      </c>
      <c r="D3247" s="0" t="inlineStr">
        <is>
          <t>连词，用于让步，表示“甲事已如此，何况乙事”。</t>
        </is>
      </c>
      <c r="E3247" s="0" t="inlineStr">
        <is>
          <t>hãy còn, huống hồ</t>
        </is>
      </c>
      <c r="F3247" s="0" t="inlineStr">
        <is>
          <t>母语者尚且会写错这个汉字，何况我们这些学外语的人呢？</t>
        </is>
      </c>
      <c r="G3247" s="0" t="inlineStr"/>
      <c r="H3247" s="0" t="inlineStr"/>
    </row>
    <row r="3248">
      <c r="A3248" s="0" t="inlineStr">
        <is>
          <t>Bài 34</t>
        </is>
      </c>
      <c r="B3248" s="0" t="inlineStr">
        <is>
          <t>不惜</t>
        </is>
      </c>
      <c r="C3248" s="0" t="inlineStr">
        <is>
          <t>bùxī</t>
        </is>
      </c>
      <c r="D3248" s="0" t="inlineStr">
        <is>
          <t>不顾惜（代价、力量等），舍得。</t>
        </is>
      </c>
      <c r="E3248" s="0" t="inlineStr">
        <is>
          <t>không tiếc, bất chấp</t>
        </is>
      </c>
      <c r="F3248" s="0" t="inlineStr">
        <is>
          <t>为了通过HSK6，我不惜每天早起一个小时背单词。</t>
        </is>
      </c>
      <c r="G3248" s="0" t="inlineStr"/>
      <c r="H3248" s="0" t="inlineStr"/>
    </row>
    <row r="3249">
      <c r="A3249" s="0" t="inlineStr">
        <is>
          <t>Bài 34</t>
        </is>
      </c>
      <c r="B3249" s="0" t="inlineStr">
        <is>
          <t>可观</t>
        </is>
      </c>
      <c r="C3249" s="0" t="inlineStr">
        <is>
          <t>kěguān</t>
        </is>
      </c>
      <c r="D3249" s="0" t="inlineStr">
        <is>
          <t>（数量、程度等）值得看重，不小。</t>
        </is>
      </c>
      <c r="E3249" s="0" t="inlineStr">
        <is>
          <t>đáng kể</t>
        </is>
      </c>
      <c r="F3249" s="0" t="inlineStr">
        <is>
          <t>这学期我教的HSK1-3学生已经有可观的进步，好几个都能简单对话了。</t>
        </is>
      </c>
      <c r="G3249" s="0" t="inlineStr"/>
      <c r="H3249" s="0" t="inlineStr"/>
    </row>
    <row r="3250">
      <c r="A3250" s="0" t="inlineStr">
        <is>
          <t>Bài 34</t>
        </is>
      </c>
      <c r="B3250" s="0" t="inlineStr">
        <is>
          <t>皇帝</t>
        </is>
      </c>
      <c r="C3250" s="0" t="inlineStr">
        <is>
          <t>huángdì</t>
        </is>
      </c>
      <c r="D3250" s="0" t="inlineStr">
        <is>
          <t>古代帝制国家最高统治者的称号。</t>
        </is>
      </c>
      <c r="E3250" s="0" t="inlineStr">
        <is>
          <t>hoàng đế</t>
        </is>
      </c>
      <c r="F3250" s="0" t="inlineStr">
        <is>
          <t>学中国历史课文的时候，我才知道原来“陛下”是用来称呼皇帝的。</t>
        </is>
      </c>
      <c r="G3250" s="0" t="inlineStr"/>
      <c r="H3250" s="0" t="inlineStr"/>
    </row>
    <row r="3251">
      <c r="A3251" s="0" t="inlineStr">
        <is>
          <t>Bài 34</t>
        </is>
      </c>
      <c r="B3251" s="0" t="inlineStr">
        <is>
          <t>皇后</t>
        </is>
      </c>
      <c r="C3251" s="0" t="inlineStr">
        <is>
          <t>huánghòu</t>
        </is>
      </c>
      <c r="D3251" s="0" t="inlineStr">
        <is>
          <t>皇帝的正妻。</t>
        </is>
      </c>
      <c r="E3251" s="0" t="inlineStr">
        <is>
          <t>hoàng hậu</t>
        </is>
      </c>
      <c r="F3251" s="0" t="inlineStr">
        <is>
          <t>上次课文里提到的那位皇后，让我想到很多中国古装剧的情节。</t>
        </is>
      </c>
      <c r="G3251" s="0" t="inlineStr"/>
      <c r="H3251" s="0" t="inlineStr"/>
    </row>
    <row r="3252">
      <c r="A3252" s="0" t="inlineStr">
        <is>
          <t>Bài 34</t>
        </is>
      </c>
      <c r="B3252" s="0" t="inlineStr">
        <is>
          <t>销毁</t>
        </is>
      </c>
      <c r="C3252" s="0" t="inlineStr">
        <is>
          <t>xiāohuǐ</t>
        </is>
      </c>
      <c r="D3252" s="0" t="inlineStr">
        <is>
          <t>熔化毁掉或烧掉。</t>
        </is>
      </c>
      <c r="E3252" s="0" t="inlineStr">
        <is>
          <t>tiêu hủy, thiêu hủy</t>
        </is>
      </c>
      <c r="F3252" s="0" t="inlineStr">
        <is>
          <t>每次考完试，老师都会把不合格的答题纸集中销毁。</t>
        </is>
      </c>
      <c r="G3252" s="0" t="inlineStr"/>
      <c r="H3252" s="0" t="inlineStr"/>
    </row>
    <row r="3253">
      <c r="A3253" s="0" t="inlineStr">
        <is>
          <t>Bài 34</t>
        </is>
      </c>
      <c r="B3253" s="0" t="inlineStr">
        <is>
          <t>手艺</t>
        </is>
      </c>
      <c r="C3253" s="0" t="inlineStr">
        <is>
          <t>shǒuyì</t>
        </is>
      </c>
      <c r="D3253" s="0" t="inlineStr">
        <is>
          <t>手工技术。</t>
        </is>
      </c>
      <c r="E3253" s="0" t="inlineStr">
        <is>
          <t>tay nghề, thủ nghệ</t>
        </is>
      </c>
      <c r="F3253" s="0" t="inlineStr">
        <is>
          <t>我的中国同事的妈妈手艺特别好，包的饺子比饭店做的还好吃。</t>
        </is>
      </c>
      <c r="G3253" s="0" t="inlineStr"/>
      <c r="H3253" s="0" t="inlineStr"/>
    </row>
    <row r="3254">
      <c r="A3254" s="0" t="inlineStr">
        <is>
          <t>Bài 34</t>
        </is>
      </c>
      <c r="B3254" s="0" t="inlineStr">
        <is>
          <t>凝聚</t>
        </is>
      </c>
      <c r="C3254" s="0" t="inlineStr">
        <is>
          <t>níngjù</t>
        </is>
      </c>
      <c r="D3254" s="0" t="inlineStr">
        <is>
          <t>（气体变成液体或液体变成固体）聚集；比喻力量、感情等聚集在一起。</t>
        </is>
      </c>
      <c r="E3254" s="0" t="inlineStr">
        <is>
          <t>ngưng tụ, kết tụ</t>
        </is>
      </c>
      <c r="F3254" s="0" t="inlineStr">
        <is>
          <t>这份生词表凝聚了我三年自学中文的心血。</t>
        </is>
      </c>
      <c r="G3254" s="0" t="inlineStr"/>
      <c r="H3254" s="0" t="inlineStr"/>
    </row>
    <row r="3255">
      <c r="A3255" s="0" t="inlineStr">
        <is>
          <t>Bài 34</t>
        </is>
      </c>
      <c r="B3255" s="0" t="inlineStr">
        <is>
          <t>结晶</t>
        </is>
      </c>
      <c r="C3255" s="0" t="inlineStr">
        <is>
          <t>jiéjīng</t>
        </is>
      </c>
      <c r="D3255" s="0" t="inlineStr">
        <is>
          <t>物质从液态变成固态；比喻辛勤劳动获得的成果。</t>
        </is>
      </c>
      <c r="E3255" s="0" t="inlineStr">
        <is>
          <t>kết tinh, thành quả</t>
        </is>
      </c>
      <c r="F3255" s="0" t="inlineStr">
        <is>
          <t>我做的这套HSK6生词学习页是我多次备课经验的结晶。</t>
        </is>
      </c>
      <c r="G3255" s="0" t="inlineStr"/>
      <c r="H3255" s="0" t="inlineStr"/>
    </row>
    <row r="3256">
      <c r="A3256" s="0" t="inlineStr">
        <is>
          <t>Bài 34</t>
        </is>
      </c>
      <c r="B3256" s="0" t="inlineStr">
        <is>
          <t>籍贯</t>
        </is>
      </c>
      <c r="C3256" s="0" t="inlineStr">
        <is>
          <t>jíguàn</t>
        </is>
      </c>
      <c r="D3256" s="0" t="inlineStr">
        <is>
          <t>祖居或个人出生的地方。</t>
        </is>
      </c>
      <c r="E3256" s="0" t="inlineStr">
        <is>
          <t>nguyên quán, quê quán</t>
        </is>
      </c>
      <c r="F3256" s="0" t="inlineStr">
        <is>
          <t>每次填中国的表格，籍贯那一栏我都要想一下该怎么解释我是越南人。</t>
        </is>
      </c>
      <c r="G3256" s="0" t="inlineStr"/>
      <c r="H3256" s="0" t="inlineStr"/>
    </row>
    <row r="3257">
      <c r="A3257" s="0" t="inlineStr">
        <is>
          <t>Bài 34</t>
        </is>
      </c>
      <c r="B3257" s="0" t="inlineStr">
        <is>
          <t>采购</t>
        </is>
      </c>
      <c r="C3257" s="0" t="inlineStr">
        <is>
          <t>cǎigòu</t>
        </is>
      </c>
      <c r="D3257" s="0" t="inlineStr">
        <is>
          <t>（为机关、企业等）选购物资，也指从事这项工作的人。</t>
        </is>
      </c>
      <c r="E3257" s="0" t="inlineStr">
        <is>
          <t>mua sắm, thu mua</t>
        </is>
      </c>
      <c r="F3257" s="0" t="inlineStr">
        <is>
          <t>我们公司的采购部门这周要跟一家中国供应商谈价格，我被叫去帮忙做口译。</t>
        </is>
      </c>
      <c r="G3257" s="0" t="inlineStr"/>
      <c r="H3257" s="0" t="inlineStr"/>
    </row>
    <row r="3258">
      <c r="A3258" s="0" t="inlineStr">
        <is>
          <t>Bài 34</t>
        </is>
      </c>
      <c r="B3258" s="0" t="inlineStr">
        <is>
          <t>创业</t>
        </is>
      </c>
      <c r="C3258" s="0" t="inlineStr">
        <is>
          <t>chuàngyè</t>
        </is>
      </c>
      <c r="D3258" s="0" t="inlineStr">
        <is>
          <t>开创事业。</t>
        </is>
      </c>
      <c r="E3258" s="0" t="inlineStr">
        <is>
          <t>khởi nghiệp, lập nghiệp</t>
        </is>
      </c>
      <c r="F3258" s="0" t="inlineStr">
        <is>
          <t>我认识的一位中国朋友辞职后自己创业，开了一家小小的语言培训中心。</t>
        </is>
      </c>
      <c r="G3258" s="0" t="inlineStr"/>
      <c r="H3258" s="0" t="inlineStr"/>
    </row>
    <row r="3259">
      <c r="A3259" s="0" t="inlineStr">
        <is>
          <t>Bài 34</t>
        </is>
      </c>
      <c r="B3259" s="0" t="inlineStr">
        <is>
          <t>神圣</t>
        </is>
      </c>
      <c r="C3259" s="0" t="inlineStr">
        <is>
          <t>shénshèng</t>
        </is>
      </c>
      <c r="D3259" s="0" t="inlineStr">
        <is>
          <t>极其崇高、庄严，不可亵渎。</t>
        </is>
      </c>
      <c r="E3259" s="0" t="inlineStr">
        <is>
          <t>thần thánh, thiêng liêng</t>
        </is>
      </c>
      <c r="F3259" s="0" t="inlineStr">
        <is>
          <t>我觉得教小朋友学中文是一件很神圣的工作，因为我在帮他们打开一扇新世界的门。</t>
        </is>
      </c>
      <c r="G3259" s="0" t="inlineStr"/>
      <c r="H3259" s="0" t="inlineStr"/>
    </row>
    <row r="3260">
      <c r="A3260" s="0" t="inlineStr">
        <is>
          <t>Bài 34</t>
        </is>
      </c>
      <c r="B3260" s="0" t="inlineStr">
        <is>
          <t>使命</t>
        </is>
      </c>
      <c r="C3260" s="0" t="inlineStr">
        <is>
          <t>shǐmìng</t>
        </is>
      </c>
      <c r="D3260" s="0" t="inlineStr">
        <is>
          <t>重大的责任。</t>
        </is>
      </c>
      <c r="E3260" s="0" t="inlineStr">
        <is>
          <t>sứ mệnh</t>
        </is>
      </c>
      <c r="F3260" s="0" t="inlineStr">
        <is>
          <t>我给自己定的使命是三年内把HSK6考到220分以上。</t>
        </is>
      </c>
      <c r="G3260" s="0" t="inlineStr"/>
      <c r="H3260" s="0" t="inlineStr"/>
    </row>
    <row r="3261">
      <c r="A3261" s="0" t="inlineStr">
        <is>
          <t>Bài 34</t>
        </is>
      </c>
      <c r="B3261" s="0" t="inlineStr">
        <is>
          <t>看待</t>
        </is>
      </c>
      <c r="C3261" s="0" t="inlineStr">
        <is>
          <t>kàndài</t>
        </is>
      </c>
      <c r="D3261" s="0" t="inlineStr">
        <is>
          <t>对待，对人或事物抱着某种看法。</t>
        </is>
      </c>
      <c r="E3261" s="0" t="inlineStr">
        <is>
          <t>nhìn nhận, đối xử</t>
        </is>
      </c>
      <c r="F3261" s="0" t="inlineStr">
        <is>
          <t>刚到中国工作的时候，我很担心同事会怎么看待我这个外国人。</t>
        </is>
      </c>
      <c r="G3261" s="0" t="inlineStr"/>
      <c r="H3261" s="0" t="inlineStr"/>
    </row>
    <row r="3262">
      <c r="A3262" s="0" t="inlineStr">
        <is>
          <t>Bài 34</t>
        </is>
      </c>
      <c r="B3262" s="0" t="inlineStr">
        <is>
          <t>家属</t>
        </is>
      </c>
      <c r="C3262" s="0" t="inlineStr">
        <is>
          <t>jiāshǔ</t>
        </is>
      </c>
      <c r="D3262" s="0" t="inlineStr">
        <is>
          <t>家庭成员（多指职工本人以外的）。</t>
        </is>
      </c>
      <c r="E3262" s="0" t="inlineStr">
        <is>
          <t>người thân, gia quyến</t>
        </is>
      </c>
      <c r="F3262" s="0" t="inlineStr">
        <is>
          <t>公司春节聚餐的时候，也邀请了员工的家属一起参加。</t>
        </is>
      </c>
      <c r="G3262" s="0" t="inlineStr"/>
      <c r="H3262" s="0" t="inlineStr"/>
    </row>
    <row r="3263">
      <c r="A3263" s="0" t="inlineStr">
        <is>
          <t>Bài 34</t>
        </is>
      </c>
      <c r="B3263" s="0" t="inlineStr">
        <is>
          <t>泛滥</t>
        </is>
      </c>
      <c r="C3263" s="0" t="inlineStr">
        <is>
          <t>fànlàn</t>
        </is>
      </c>
      <c r="D3263" s="0" t="inlineStr">
        <is>
          <t>（水）漫溢；比喻坏的事物不受限制地传播。</t>
        </is>
      </c>
      <c r="E3263" s="0" t="inlineStr">
        <is>
          <t>tràn lan, lũ lụt</t>
        </is>
      </c>
      <c r="F3263" s="0" t="inlineStr">
        <is>
          <t>网上关于学中文“速成”的错误方法很泛滥，我都是靠踏实练习才进步的。</t>
        </is>
      </c>
      <c r="G3263" s="0" t="inlineStr"/>
      <c r="H3263" s="0" t="inlineStr"/>
    </row>
    <row r="3264">
      <c r="A3264" s="0" t="inlineStr">
        <is>
          <t>Bài 34</t>
        </is>
      </c>
      <c r="B3264" s="0" t="inlineStr">
        <is>
          <t>表彰</t>
        </is>
      </c>
      <c r="C3264" s="0" t="inlineStr">
        <is>
          <t>biǎozhāng</t>
        </is>
      </c>
      <c r="D3264" s="0" t="inlineStr">
        <is>
          <t>表扬先进人物或事迹。</t>
        </is>
      </c>
      <c r="E3264" s="0" t="inlineStr">
        <is>
          <t>biểu dương, tuyên dương</t>
        </is>
      </c>
      <c r="F3264" s="0" t="inlineStr">
        <is>
          <t>这学期表现最好的HSK1学生，我打算在期末课上公开表彰他。</t>
        </is>
      </c>
      <c r="G3264" s="0" t="inlineStr"/>
      <c r="H3264" s="0" t="inlineStr"/>
    </row>
    <row r="3265">
      <c r="A3265" s="0" t="inlineStr">
        <is>
          <t>Bài 34</t>
        </is>
      </c>
      <c r="B3265" s="0" t="inlineStr">
        <is>
          <t>荣誉</t>
        </is>
      </c>
      <c r="C3265" s="0" t="inlineStr">
        <is>
          <t>róngyù</t>
        </is>
      </c>
      <c r="D3265" s="0" t="inlineStr">
        <is>
          <t>光荣的名誉。</t>
        </is>
      </c>
      <c r="E3265" s="0" t="inlineStr">
        <is>
          <t>vinh dự, danh dự</t>
        </is>
      </c>
      <c r="F3265" s="0" t="inlineStr">
        <is>
          <t>能被邀请去帮公司培训新员工的中文，我觉得是一种荣誉。</t>
        </is>
      </c>
      <c r="G3265" s="0" t="inlineStr"/>
      <c r="H3265" s="0" t="inlineStr"/>
    </row>
    <row r="3266">
      <c r="A3266" s="0" t="inlineStr">
        <is>
          <t>Bài 34</t>
        </is>
      </c>
      <c r="B3266" s="0" t="inlineStr">
        <is>
          <t>奖励</t>
        </is>
      </c>
      <c r="C3266" s="0" t="inlineStr">
        <is>
          <t>jiǎnglì</t>
        </is>
      </c>
      <c r="D3266" s="0" t="inlineStr">
        <is>
          <t>给予荣誉或财物来鼓励。</t>
        </is>
      </c>
      <c r="E3266" s="0" t="inlineStr">
        <is>
          <t>khen thưởng</t>
        </is>
      </c>
      <c r="F3266" s="0" t="inlineStr">
        <is>
          <t>为了鼓励学生认真背生词，我每周都会奖励表现最好的人一张小贴纸。</t>
        </is>
      </c>
      <c r="G3266" s="0" t="inlineStr"/>
      <c r="H3266" s="0" t="inlineStr"/>
    </row>
    <row r="3267">
      <c r="A3267" s="0" t="inlineStr">
        <is>
          <t>Bài 34</t>
        </is>
      </c>
      <c r="B3267" s="0" t="inlineStr">
        <is>
          <t>称号</t>
        </is>
      </c>
      <c r="C3267" s="0" t="inlineStr">
        <is>
          <t>chēnghào</t>
        </is>
      </c>
      <c r="D3267" s="0" t="inlineStr">
        <is>
          <t>给予某人或某集体的名称（多为光荣的）。</t>
        </is>
      </c>
      <c r="E3267" s="0" t="inlineStr">
        <is>
          <t>danh hiệu</t>
        </is>
      </c>
      <c r="F3267" s="0" t="inlineStr">
        <is>
          <t>我给自己定了一个小目标——拿到“HSK6高分”这个称号。</t>
        </is>
      </c>
      <c r="G3267" s="0" t="inlineStr"/>
      <c r="H3267" s="0" t="inlineStr"/>
    </row>
    <row r="3268">
      <c r="A3268" s="0" t="inlineStr">
        <is>
          <t>Bài 34</t>
        </is>
      </c>
      <c r="B3268" s="0" t="inlineStr">
        <is>
          <t>争气</t>
        </is>
      </c>
      <c r="C3268" s="0" t="inlineStr">
        <is>
          <t>zhēngqì</t>
        </is>
      </c>
      <c r="D3268" s="0" t="inlineStr">
        <is>
          <t>力求做好，不落后，不甘示弱。</t>
        </is>
      </c>
      <c r="E3268" s="0" t="inlineStr">
        <is>
          <t>quyết chí phấn đấu, không chịu thua kém</t>
        </is>
      </c>
      <c r="F3268" s="0" t="inlineStr">
        <is>
          <t>这次模拟考没考好，我告诉自己下次一定要争气。</t>
        </is>
      </c>
      <c r="G3268" s="0" t="inlineStr"/>
      <c r="H3268" s="0" t="inlineStr"/>
    </row>
    <row r="3269">
      <c r="A3269" s="0" t="inlineStr">
        <is>
          <t>Bài 34</t>
        </is>
      </c>
      <c r="B3269" s="0" t="inlineStr">
        <is>
          <t>沾光</t>
        </is>
      </c>
      <c r="C3269" s="0" t="inlineStr">
        <is>
          <t>zhānguāng</t>
        </is>
      </c>
      <c r="D3269" s="0" t="inlineStr">
        <is>
          <t>因为跟别人或事物有关系而得到好处。</t>
        </is>
      </c>
      <c r="E3269" s="0" t="inlineStr">
        <is>
          <t>được thơm lây, hưởng ké</t>
        </is>
      </c>
      <c r="F3269" s="0" t="inlineStr">
        <is>
          <t>我教的一个学生HSK考了满分，同事都说我沾了学生的光。</t>
        </is>
      </c>
      <c r="G3269" s="0" t="inlineStr"/>
      <c r="H3269" s="0" t="inlineStr"/>
    </row>
    <row r="3270">
      <c r="A3270" s="0" t="inlineStr">
        <is>
          <t>Bài 34</t>
        </is>
      </c>
      <c r="B3270" s="0" t="inlineStr">
        <is>
          <t>品质</t>
        </is>
      </c>
      <c r="C3270" s="0" t="inlineStr">
        <is>
          <t>pǐnzhì</t>
        </is>
      </c>
      <c r="D3270" s="0" t="inlineStr">
        <is>
          <t>人的行为、作风所表现的思想品格；也指物品的质量。</t>
        </is>
      </c>
      <c r="E3270" s="0" t="inlineStr">
        <is>
          <t>phẩm chất, chất lượng</t>
        </is>
      </c>
      <c r="F3270" s="0" t="inlineStr">
        <is>
          <t>我很欣赏那位老师认真负责的品质，所以一直把她当作自己教学的榜样。</t>
        </is>
      </c>
      <c r="G3270" s="0" t="inlineStr"/>
      <c r="H3270" s="0" t="inlineStr"/>
    </row>
    <row r="3271">
      <c r="A3271" s="0" t="inlineStr">
        <is>
          <t>Bài 34</t>
        </is>
      </c>
      <c r="B3271" s="0" t="inlineStr">
        <is>
          <t>乐意</t>
        </is>
      </c>
      <c r="C3271" s="0" t="inlineStr">
        <is>
          <t>lèyì</t>
        </is>
      </c>
      <c r="D3271" s="0" t="inlineStr">
        <is>
          <t>愿意，心甘情愿。</t>
        </is>
      </c>
      <c r="E3271" s="0" t="inlineStr">
        <is>
          <t>sẵn lòng, vui lòng</t>
        </is>
      </c>
      <c r="F3271" s="0" t="inlineStr">
        <is>
          <t>只要学生有问题，我都很乐意用中文和越南语两种语言解释给他们听。</t>
        </is>
      </c>
      <c r="G3271" s="0" t="inlineStr"/>
      <c r="H3271" s="0" t="inlineStr"/>
    </row>
    <row r="3272">
      <c r="A3272" s="0" t="inlineStr">
        <is>
          <t>Bài 34</t>
        </is>
      </c>
      <c r="B3272" s="0" t="inlineStr">
        <is>
          <t>次序</t>
        </is>
      </c>
      <c r="C3272" s="0" t="inlineStr">
        <is>
          <t>cìxù</t>
        </is>
      </c>
      <c r="D3272" s="0" t="inlineStr">
        <is>
          <t>事物在一定条件下的排列顺序。</t>
        </is>
      </c>
      <c r="E3272" s="0" t="inlineStr">
        <is>
          <t>thứ tự, trình tự</t>
        </is>
      </c>
      <c r="F3272" s="0" t="inlineStr">
        <is>
          <t>我把HSK6生词按难易次序排列，先学简单的，再挑战难的成语。</t>
        </is>
      </c>
      <c r="G3272" s="0" t="inlineStr"/>
      <c r="H3272" s="0" t="inlineStr"/>
    </row>
    <row r="3273">
      <c r="A3273" s="0" t="inlineStr">
        <is>
          <t>Bài 34</t>
        </is>
      </c>
      <c r="B3273" s="0" t="inlineStr">
        <is>
          <t>精益求精</t>
        </is>
      </c>
      <c r="C3273" s="0" t="inlineStr">
        <is>
          <t>jīngyìqiújīng</t>
        </is>
      </c>
      <c r="D3273" s="0" t="inlineStr">
        <is>
          <t>已经很好了，还要求更好。</t>
        </is>
      </c>
      <c r="E3273" s="0" t="inlineStr">
        <is>
          <t>cầu toàn, không ngừng hoàn thiện</t>
        </is>
      </c>
      <c r="F3273" s="0" t="inlineStr">
        <is>
          <t>我的中文写作已经能拿高分了，但我还是想精益求精，继续减少小语法错误。</t>
        </is>
      </c>
      <c r="G3273" s="0" t="inlineStr"/>
      <c r="H3273" s="0" t="inlineStr"/>
    </row>
    <row r="3274">
      <c r="A3274" s="0" t="inlineStr">
        <is>
          <t>Bài 34</t>
        </is>
      </c>
      <c r="B3274" s="0" t="inlineStr">
        <is>
          <t>朝代</t>
        </is>
      </c>
      <c r="C3274" s="0" t="inlineStr">
        <is>
          <t>cháodài</t>
        </is>
      </c>
      <c r="D3274" s="0" t="inlineStr">
        <is>
          <t>建立国号的君主或整个王朝所统治的时代。</t>
        </is>
      </c>
      <c r="E3274" s="0" t="inlineStr">
        <is>
          <t>triều đại</t>
        </is>
      </c>
      <c r="F3274" s="0" t="inlineStr">
        <is>
          <t>我教HSK1的孩子们唱一首关于中国朝代顺序的儿歌，帮助他们记忆。</t>
        </is>
      </c>
      <c r="G3274" s="0" t="inlineStr"/>
      <c r="H3274" s="0" t="inlineStr"/>
    </row>
    <row r="3275">
      <c r="A3275" s="0" t="inlineStr">
        <is>
          <t>Bài 34</t>
        </is>
      </c>
      <c r="B3275" s="0" t="inlineStr">
        <is>
          <t>拥护</t>
        </is>
      </c>
      <c r="C3275" s="0" t="inlineStr">
        <is>
          <t>yōnghù</t>
        </is>
      </c>
      <c r="D3275" s="0" t="inlineStr">
        <is>
          <t>拥戴支持（某种主张、领导人或政党等）。</t>
        </is>
      </c>
      <c r="E3275" s="0" t="inlineStr">
        <is>
          <t>ủng hộ</t>
        </is>
      </c>
      <c r="F3275" s="0" t="inlineStr">
        <is>
          <t>老师提出增加口语练习的时间，我们全班同学都很拥护这个提议。</t>
        </is>
      </c>
      <c r="G3275" s="0" t="inlineStr"/>
      <c r="H3275" s="0" t="inlineStr"/>
    </row>
    <row r="3276">
      <c r="A3276" s="0" t="inlineStr">
        <is>
          <t>Bài 34</t>
        </is>
      </c>
      <c r="B3276" s="0" t="inlineStr">
        <is>
          <t>威信</t>
        </is>
      </c>
      <c r="C3276" s="0" t="inlineStr">
        <is>
          <t>wēixìn</t>
        </is>
      </c>
      <c r="D3276" s="0" t="inlineStr">
        <is>
          <t>使人信服的力量和威望。</t>
        </is>
      </c>
      <c r="E3276" s="0" t="inlineStr">
        <is>
          <t>uy tín</t>
        </is>
      </c>
      <c r="F3276" s="0" t="inlineStr">
        <is>
          <t>一位老师要在学生心里树立威信，光靠严厉是不够的，还要靠专业和耐心。</t>
        </is>
      </c>
      <c r="G3276" s="0" t="inlineStr"/>
      <c r="H3276" s="0" t="inlineStr"/>
    </row>
    <row r="3277">
      <c r="A3277" s="0" t="inlineStr">
        <is>
          <t>Bài 34</t>
        </is>
      </c>
      <c r="B3277" s="0" t="inlineStr">
        <is>
          <t>当代</t>
        </is>
      </c>
      <c r="C3277" s="0" t="inlineStr">
        <is>
          <t>dāngdài</t>
        </is>
      </c>
      <c r="D3277" s="0" t="inlineStr">
        <is>
          <t>当前这个时代。</t>
        </is>
      </c>
      <c r="E3277" s="0" t="inlineStr">
        <is>
          <t>đương đại, đương thời</t>
        </is>
      </c>
      <c r="F3277" s="0" t="inlineStr">
        <is>
          <t>我很喜欢读当代中国作家写的短篇小说，语言比较贴近日常生活。</t>
        </is>
      </c>
      <c r="G3277" s="0" t="inlineStr"/>
      <c r="H3277" s="0" t="inlineStr"/>
    </row>
    <row r="3278">
      <c r="A3278" s="0" t="inlineStr">
        <is>
          <t>Bài 34</t>
        </is>
      </c>
      <c r="B3278" s="0" t="inlineStr">
        <is>
          <t>级别</t>
        </is>
      </c>
      <c r="C3278" s="0" t="inlineStr">
        <is>
          <t>jíbié</t>
        </is>
      </c>
      <c r="D3278" s="0" t="inlineStr">
        <is>
          <t>按等级划分的差别。</t>
        </is>
      </c>
      <c r="E3278" s="0" t="inlineStr">
        <is>
          <t>cấp bậc, đẳng cấp</t>
        </is>
      </c>
      <c r="F3278" s="0" t="inlineStr">
        <is>
          <t>HSK考试分成好几个级别，我现在正在为最高级别HSK6努力。</t>
        </is>
      </c>
      <c r="G3278" s="0" t="inlineStr"/>
      <c r="H3278" s="0" t="inlineStr"/>
    </row>
    <row r="3279">
      <c r="A3279" s="0" t="inlineStr">
        <is>
          <t>Bài 34</t>
        </is>
      </c>
      <c r="B3279" s="0" t="inlineStr">
        <is>
          <t>泰斗</t>
        </is>
      </c>
      <c r="C3279" s="0" t="inlineStr">
        <is>
          <t>tàidǒu</t>
        </is>
      </c>
      <c r="D3279" s="0" t="inlineStr">
        <is>
          <t>比喻在某一方面负有名望、为众人所敬仰的人。</t>
        </is>
      </c>
      <c r="E3279" s="0" t="inlineStr">
        <is>
          <t>bậc thái đẩu, cây đa cây đề</t>
        </is>
      </c>
      <c r="F3279" s="0" t="inlineStr">
        <is>
          <t>我很崇拜的一位汉语教学泰斗写了很多关于HSK6写作方法的书。</t>
        </is>
      </c>
      <c r="G3279" s="0" t="inlineStr"/>
      <c r="H3279" s="0" t="inlineStr"/>
    </row>
    <row r="3280">
      <c r="A3280" s="0" t="inlineStr">
        <is>
          <t>Bài 34</t>
        </is>
      </c>
      <c r="B3280" s="0" t="inlineStr">
        <is>
          <t>温柔</t>
        </is>
      </c>
      <c r="C3280" s="0" t="inlineStr">
        <is>
          <t>wēnróu</t>
        </is>
      </c>
      <c r="D3280" s="0" t="inlineStr">
        <is>
          <t>形容脾气好，有不同意见时能顺从别人的意思，多用于形容女性的性情、语言。</t>
        </is>
      </c>
      <c r="E3280" s="0" t="inlineStr">
        <is>
          <t>dịu dàng, ôn nhu</t>
        </is>
      </c>
      <c r="F3280" s="0" t="inlineStr">
        <is>
          <t>我们班有位女同学说话总是温柔又有耐心，跟她一起练口语我一点也不紧张。</t>
        </is>
      </c>
      <c r="G3280" s="0" t="inlineStr"/>
      <c r="H3280" s="0" t="inlineStr"/>
    </row>
    <row r="3281">
      <c r="A3281" s="0" t="inlineStr">
        <is>
          <t>Bài 21</t>
        </is>
      </c>
      <c r="B3281" s="0" t="inlineStr">
        <is>
          <t>急剧</t>
        </is>
      </c>
      <c r="C3281" s="0" t="inlineStr">
        <is>
          <t>jíjù</t>
        </is>
      </c>
      <c r="D3281" s="0" t="inlineStr">
        <is>
          <t>变化得很快、很剧烈</t>
        </is>
      </c>
      <c r="E3281" s="0" t="inlineStr">
        <is>
          <t>dữ dội, nhanh chóng, đột ngột</t>
        </is>
      </c>
      <c r="F3281" s="0" t="inlineStr">
        <is>
          <t>最近工作一忙，我的学习进度就急剧下降，得赶紧调整。</t>
        </is>
      </c>
      <c r="H3281" s="0">
        <f>G953=B953</f>
        <v/>
      </c>
    </row>
    <row r="3282">
      <c r="A3282" s="0" t="inlineStr">
        <is>
          <t>Bài 21</t>
        </is>
      </c>
      <c r="B3282" s="0" t="inlineStr">
        <is>
          <t>川流不息</t>
        </is>
      </c>
      <c r="C3282" s="0" t="inlineStr">
        <is>
          <t>chuānliúbùxī</t>
        </is>
      </c>
      <c r="D3282" s="0" t="inlineStr">
        <is>
          <t>像水流一样连续不断，形容人或车很多</t>
        </is>
      </c>
      <c r="E3282" s="0" t="inlineStr">
        <is>
          <t>(dòng người/xe) không ngớt, liên tục</t>
        </is>
      </c>
      <c r="F3282" s="0" t="inlineStr">
        <is>
          <t>商场门口人来人往，川流不息，我拍视频当听力素材都拍不清楚人脸。</t>
        </is>
      </c>
      <c r="H3282" s="0">
        <f>G954=B954</f>
        <v/>
      </c>
    </row>
    <row r="3283">
      <c r="A3283" s="0" t="inlineStr">
        <is>
          <t>Bài 21</t>
        </is>
      </c>
      <c r="B3283" s="0" t="inlineStr">
        <is>
          <t>登录</t>
        </is>
      </c>
      <c r="C3283" s="0" t="inlineStr">
        <is>
          <t>dēnglù</t>
        </is>
      </c>
      <c r="D3283" s="0" t="inlineStr">
        <is>
          <t>打开账号进入系统或网站</t>
        </is>
      </c>
      <c r="E3283" s="0" t="inlineStr">
        <is>
          <t>đăng nhập</t>
        </is>
      </c>
      <c r="F3283" s="0" t="inlineStr">
        <is>
          <t>我每天登录网课平台打卡，坚持背单词。</t>
        </is>
      </c>
    </row>
    <row r="3284">
      <c r="A3284" s="0" t="inlineStr">
        <is>
          <t>Bài 21</t>
        </is>
      </c>
      <c r="B3284" s="0" t="inlineStr">
        <is>
          <t>指令</t>
        </is>
      </c>
      <c r="C3284" s="0" t="inlineStr">
        <is>
          <t>zhǐlìng</t>
        </is>
      </c>
      <c r="D3284" s="0" t="inlineStr">
        <is>
          <t>上级下达的命令</t>
        </is>
      </c>
      <c r="E3284" s="0" t="inlineStr">
        <is>
          <t>chỉ thị, mệnh lệnh</t>
        </is>
      </c>
      <c r="F3284" s="0" t="inlineStr">
        <is>
          <t>老板用中文给我下了一条指令，我愣了两秒才反应过来意思。</t>
        </is>
      </c>
    </row>
    <row r="3285">
      <c r="A3285" s="0" t="inlineStr">
        <is>
          <t>Bài 21</t>
        </is>
      </c>
      <c r="B3285" s="0" t="inlineStr">
        <is>
          <t>根深蒂固</t>
        </is>
      </c>
      <c r="C3285" s="0" t="inlineStr">
        <is>
          <t>gēnshēndìgù</t>
        </is>
      </c>
      <c r="D3285" s="0" t="inlineStr">
        <is>
          <t>存在已久，扎根很深，很难改变</t>
        </is>
      </c>
      <c r="E3285" s="0" t="inlineStr">
        <is>
          <t>ăn sâu bén rễ, cố hữu</t>
        </is>
      </c>
      <c r="F3285" s="0" t="inlineStr">
        <is>
          <t>“学中文一定要先学拼音”这个想法在我脑子里根深蒂固，后来才发现直接学汉字也可以。</t>
        </is>
      </c>
    </row>
    <row r="3286">
      <c r="A3286" s="0" t="inlineStr">
        <is>
          <t>Bài 21</t>
        </is>
      </c>
      <c r="B3286" s="0" t="inlineStr">
        <is>
          <t>不免</t>
        </is>
      </c>
      <c r="C3286" s="0" t="inlineStr">
        <is>
          <t>bùmiǎn</t>
        </is>
      </c>
      <c r="D3286" s="0" t="inlineStr">
        <is>
          <t>在某种情况下很自然地会产生某种结果，很难避免</t>
        </is>
      </c>
      <c r="E3286" s="0" t="inlineStr">
        <is>
          <t>không tránh khỏi, tất nhiên sẽ</t>
        </is>
      </c>
      <c r="F3286" s="0" t="inlineStr">
        <is>
          <t>第一次用中文跟客户开会，我不免有点紧张。</t>
        </is>
      </c>
    </row>
    <row r="3287">
      <c r="A3287" s="0" t="inlineStr">
        <is>
          <t>Bài 21</t>
        </is>
      </c>
      <c r="B3287" s="0" t="inlineStr">
        <is>
          <t>预言</t>
        </is>
      </c>
      <c r="C3287" s="0" t="inlineStr">
        <is>
          <t>yùyán</t>
        </is>
      </c>
      <c r="D3287" s="0" t="inlineStr">
        <is>
          <t>事先说出以后会发生的事</t>
        </is>
      </c>
      <c r="E3287" s="0" t="inlineStr">
        <is>
          <t>lời tiên đoán, dự ngôn</t>
        </is>
      </c>
      <c r="F3287" s="0" t="inlineStr">
        <is>
          <t>老师预言我这次HSK6能考到220分以上，希望她说得准。</t>
        </is>
      </c>
    </row>
    <row r="3288">
      <c r="A3288" s="0" t="inlineStr">
        <is>
          <t>Bài 21</t>
        </is>
      </c>
      <c r="B3288" s="0" t="inlineStr">
        <is>
          <t>革命</t>
        </is>
      </c>
      <c r="C3288" s="0" t="inlineStr">
        <is>
          <t>gémìng</t>
        </is>
      </c>
      <c r="D3288" s="0" t="inlineStr">
        <is>
          <t>根本性的、彻底的大改变</t>
        </is>
      </c>
      <c r="E3288" s="0" t="inlineStr">
        <is>
          <t>cách mạng, thay đổi căn bản</t>
        </is>
      </c>
      <c r="F3288" s="0" t="inlineStr">
        <is>
          <t>换了新的背单词方法后，我的学习效率简直是一场革命。</t>
        </is>
      </c>
      <c r="H3288" s="0">
        <f>G984=B984</f>
        <v/>
      </c>
    </row>
    <row r="3289">
      <c r="A3289" s="0" t="inlineStr">
        <is>
          <t>Bài 21</t>
        </is>
      </c>
      <c r="B3289" s="0" t="inlineStr">
        <is>
          <t>改良</t>
        </is>
      </c>
      <c r="C3289" s="0" t="inlineStr">
        <is>
          <t>gǎiliáng</t>
        </is>
      </c>
      <c r="D3289" s="0" t="inlineStr">
        <is>
          <t>改进，使更好一些</t>
        </is>
      </c>
      <c r="E3289" s="0" t="inlineStr">
        <is>
          <t>cải tiến, cải lương</t>
        </is>
      </c>
      <c r="F3289" s="0" t="inlineStr">
        <is>
          <t>我把以前那套死记硬背的方法改良了一下，加了例句和场景。</t>
        </is>
      </c>
      <c r="H3289" s="0">
        <f>G985=B985</f>
        <v/>
      </c>
    </row>
    <row r="3290">
      <c r="A3290" s="0" t="inlineStr">
        <is>
          <t>Bài 21</t>
        </is>
      </c>
      <c r="B3290" s="0" t="inlineStr">
        <is>
          <t>欣欣向荣</t>
        </is>
      </c>
      <c r="C3290" s="0" t="inlineStr">
        <is>
          <t>xīnxīnxiàngróng</t>
        </is>
      </c>
      <c r="D3290" s="0" t="inlineStr">
        <is>
          <t>很兴旺，蓬勃发展的样子</t>
        </is>
      </c>
      <c r="E3290" s="0" t="inlineStr">
        <is>
          <t>phồn vinh, phát triển mạnh mẽ</t>
        </is>
      </c>
      <c r="F3290" s="0" t="inlineStr">
        <is>
          <t>自从坚持每天学习，我的中文水平呈现出一片欣欣向荣的样子。</t>
        </is>
      </c>
      <c r="H3290" s="0">
        <f>G986=B986</f>
        <v/>
      </c>
    </row>
    <row r="3291">
      <c r="A3291" s="0" t="inlineStr">
        <is>
          <t>Bài 21</t>
        </is>
      </c>
      <c r="B3291" s="0" t="inlineStr">
        <is>
          <t>仓库</t>
        </is>
      </c>
      <c r="C3291" s="0" t="inlineStr">
        <is>
          <t>cāngkù</t>
        </is>
      </c>
      <c r="D3291" s="0" t="inlineStr">
        <is>
          <t>存放东西的地方</t>
        </is>
      </c>
      <c r="E3291" s="0" t="inlineStr">
        <is>
          <t>kho, nhà kho</t>
        </is>
      </c>
      <c r="F3291" s="0" t="inlineStr">
        <is>
          <t>公司仓库里堆满了要发往中国的货，我负责跟对方核对清单。</t>
        </is>
      </c>
      <c r="H3291" s="0">
        <f>G987=B987</f>
        <v/>
      </c>
    </row>
    <row r="3292">
      <c r="A3292" s="0" t="inlineStr">
        <is>
          <t>Bài 21</t>
        </is>
      </c>
      <c r="B3292" s="0" t="inlineStr">
        <is>
          <t>相应</t>
        </is>
      </c>
      <c r="C3292" s="0" t="inlineStr">
        <is>
          <t>xiāngyìng</t>
        </is>
      </c>
      <c r="D3292" s="0" t="inlineStr">
        <is>
          <t>跟某种情况互相对应的</t>
        </is>
      </c>
      <c r="E3292" s="0" t="inlineStr">
        <is>
          <t>tương ứng</t>
        </is>
      </c>
      <c r="F3292" s="0" t="inlineStr">
        <is>
          <t>每学一个语法点，我都会找相应的例句来加深印象。</t>
        </is>
      </c>
      <c r="H3292" s="0">
        <f>G957=B957</f>
        <v/>
      </c>
    </row>
    <row r="3293">
      <c r="A3293" s="0" t="inlineStr">
        <is>
          <t>Bài 21</t>
        </is>
      </c>
      <c r="B3293" s="0" t="inlineStr">
        <is>
          <t>仪器</t>
        </is>
      </c>
      <c r="C3293" s="0" t="inlineStr">
        <is>
          <t>yíqì</t>
        </is>
      </c>
      <c r="D3293" s="0" t="inlineStr">
        <is>
          <t>用来测量、做实验的精密设备</t>
        </is>
      </c>
      <c r="E3293" s="0" t="inlineStr">
        <is>
          <t>thiết bị, máy móc (dụng cụ đo/thí nghiệm)</t>
        </is>
      </c>
      <c r="F3293" s="0" t="inlineStr">
        <is>
          <t>车间里那些精密仪器的说明书全是中文，我得一边学一边翻译给同事听。</t>
        </is>
      </c>
    </row>
    <row r="3294">
      <c r="A3294" s="0" t="inlineStr">
        <is>
          <t>Bài 21</t>
        </is>
      </c>
      <c r="B3294" s="0" t="inlineStr">
        <is>
          <t>以免</t>
        </is>
      </c>
      <c r="C3294" s="0" t="inlineStr">
        <is>
          <t>yǐmiǎn</t>
        </is>
      </c>
      <c r="D3294" s="0" t="inlineStr">
        <is>
          <t>用在后一句，表示前面的做法是为了避免发生不希望的情况</t>
        </is>
      </c>
      <c r="E3294" s="0" t="inlineStr">
        <is>
          <t>để tránh, kẻo</t>
        </is>
      </c>
      <c r="F3294" s="0" t="inlineStr">
        <is>
          <t>我把每天的学习计划写在本子上，以免自己偷懒。</t>
        </is>
      </c>
    </row>
    <row r="3295">
      <c r="A3295" s="0" t="inlineStr">
        <is>
          <t>Bài 21</t>
        </is>
      </c>
      <c r="B3295" s="0" t="inlineStr">
        <is>
          <t>储备</t>
        </is>
      </c>
      <c r="C3295" s="0" t="inlineStr">
        <is>
          <t>chǔbèi</t>
        </is>
      </c>
      <c r="D3295" s="0" t="inlineStr">
        <is>
          <t>提前准备好，存起来以后用</t>
        </is>
      </c>
      <c r="E3295" s="0" t="inlineStr">
        <is>
          <t>dự trữ</t>
        </is>
      </c>
      <c r="F3295" s="0" t="inlineStr">
        <is>
          <t>考HSK6之前，我得多储备一些成语和固定搭配。</t>
        </is>
      </c>
    </row>
    <row r="3296">
      <c r="A3296" s="0" t="inlineStr">
        <is>
          <t>Bài 21</t>
        </is>
      </c>
      <c r="B3296" s="0" t="inlineStr">
        <is>
          <t>结算</t>
        </is>
      </c>
      <c r="C3296" s="0" t="inlineStr">
        <is>
          <t>jiésuàn</t>
        </is>
      </c>
      <c r="D3296" s="0" t="inlineStr">
        <is>
          <t>把账目算清楚</t>
        </is>
      </c>
      <c r="E3296" s="0" t="inlineStr">
        <is>
          <t>thanh toán, quyết toán</t>
        </is>
      </c>
      <c r="F3296" s="0" t="inlineStr">
        <is>
          <t>月底跟中国供应商结算货款时，我得用中文确认好几遍数字。</t>
        </is>
      </c>
    </row>
    <row r="3297">
      <c r="A3297" s="0" t="inlineStr">
        <is>
          <t>Bài 21</t>
        </is>
      </c>
      <c r="B3297" s="0" t="inlineStr">
        <is>
          <t>模式</t>
        </is>
      </c>
      <c r="C3297" s="0" t="inlineStr">
        <is>
          <t>móshì</t>
        </is>
      </c>
      <c r="D3297" s="0" t="inlineStr">
        <is>
          <t>做事的方式、样式</t>
        </is>
      </c>
      <c r="E3297" s="0" t="inlineStr">
        <is>
          <t>mô hình, khuôn mẫu</t>
        </is>
      </c>
      <c r="F3297" s="0" t="inlineStr">
        <is>
          <t>我摸索出一种“早上背词、晚上写作文”的学习模式。</t>
        </is>
      </c>
      <c r="H3297" s="0">
        <f>G968=B968</f>
        <v/>
      </c>
    </row>
    <row r="3298">
      <c r="A3298" s="0" t="inlineStr">
        <is>
          <t>Bài 21</t>
        </is>
      </c>
      <c r="B3298" s="0" t="inlineStr">
        <is>
          <t>嫌</t>
        </is>
      </c>
      <c r="C3298" s="0" t="inlineStr">
        <is>
          <t>xián</t>
        </is>
      </c>
      <c r="D3298" s="0" t="inlineStr">
        <is>
          <t>觉得不满意、不喜欢</t>
        </is>
      </c>
      <c r="E3298" s="0" t="inlineStr">
        <is>
          <t>chê, không thích</t>
        </is>
      </c>
      <c r="F3298" s="0" t="inlineStr">
        <is>
          <t>我嫌自己发音不够标准，每天都对着录音练一遍。</t>
        </is>
      </c>
      <c r="H3298" s="0">
        <f>G969=B969</f>
        <v/>
      </c>
    </row>
    <row r="3299">
      <c r="A3299" s="0" t="inlineStr">
        <is>
          <t>Bài 21</t>
        </is>
      </c>
      <c r="B3299" s="0" t="inlineStr">
        <is>
          <t>腥</t>
        </is>
      </c>
      <c r="C3299" s="0" t="inlineStr">
        <is>
          <t>xīng</t>
        </is>
      </c>
      <c r="D3299" s="0" t="inlineStr">
        <is>
          <t>鱼、肉一类的难闻气味</t>
        </is>
      </c>
      <c r="E3299" s="0" t="inlineStr">
        <is>
          <t>tanh</t>
        </is>
      </c>
      <c r="F3299" s="0" t="inlineStr">
        <is>
          <t>中国同事请我吃鱼，我嫌腥，只夹了一小块。</t>
        </is>
      </c>
      <c r="H3299" s="0">
        <f>G970=B970</f>
        <v/>
      </c>
    </row>
    <row r="3300">
      <c r="A3300" s="0" t="inlineStr">
        <is>
          <t>Bài 21</t>
        </is>
      </c>
      <c r="B3300" s="0" t="inlineStr">
        <is>
          <t>清理</t>
        </is>
      </c>
      <c r="C3300" s="0" t="inlineStr">
        <is>
          <t>qīnglǐ</t>
        </is>
      </c>
      <c r="D3300" s="0" t="inlineStr">
        <is>
          <t>打扫、整理干净</t>
        </is>
      </c>
      <c r="E3300" s="0" t="inlineStr">
        <is>
          <t>dọn dẹp, xử lý sạch sẽ</t>
        </is>
      </c>
      <c r="F3300" s="0" t="inlineStr">
        <is>
          <t>每周末我都会清理一下手机里的生词笔记，把学会的删掉。</t>
        </is>
      </c>
      <c r="H3300" s="0">
        <f>G971=B971</f>
        <v/>
      </c>
    </row>
    <row r="3301">
      <c r="A3301" s="0" t="inlineStr">
        <is>
          <t>Bài 21</t>
        </is>
      </c>
      <c r="B3301" s="0" t="inlineStr">
        <is>
          <t>等候</t>
        </is>
      </c>
      <c r="C3301" s="0" t="inlineStr">
        <is>
          <t>děnghòu</t>
        </is>
      </c>
      <c r="D3301" s="0" t="inlineStr">
        <is>
          <t>等待</t>
        </is>
      </c>
      <c r="E3301" s="0" t="inlineStr">
        <is>
          <t>chờ đợi</t>
        </is>
      </c>
      <c r="F3301" s="0" t="inlineStr">
        <is>
          <t>面试前我在办公室外等候，心里默默复习了一遍自我介绍。</t>
        </is>
      </c>
      <c r="H3301" s="0">
        <f>G972=B972</f>
        <v/>
      </c>
    </row>
    <row r="3302">
      <c r="A3302" s="0" t="inlineStr">
        <is>
          <t>Bài 21</t>
        </is>
      </c>
      <c r="B3302" s="0" t="inlineStr">
        <is>
          <t>把手</t>
        </is>
      </c>
      <c r="C3302" s="0" t="inlineStr">
        <is>
          <t>bǎshou</t>
        </is>
      </c>
      <c r="D3302" s="0" t="inlineStr">
        <is>
          <t>门、抽屉等上面用手拿的部分</t>
        </is>
      </c>
      <c r="E3302" s="0" t="inlineStr">
        <is>
          <t>tay nắm, tay cầm</t>
        </is>
      </c>
      <c r="F3302" s="0" t="inlineStr">
        <is>
          <t>教室门的把手坏了，学生进不来，我只好临时改在走廊上课。</t>
        </is>
      </c>
      <c r="H3302" s="0">
        <f>G955=B955</f>
        <v/>
      </c>
    </row>
    <row r="3303">
      <c r="A3303" s="0" t="inlineStr">
        <is>
          <t>Bài 21</t>
        </is>
      </c>
      <c r="B3303" s="0" t="inlineStr">
        <is>
          <t>装卸</t>
        </is>
      </c>
      <c r="C3303" s="0" t="inlineStr">
        <is>
          <t>zhuāngxiè</t>
        </is>
      </c>
      <c r="D3303" s="0" t="inlineStr">
        <is>
          <t>装上和卸下，如装货卸货</t>
        </is>
      </c>
      <c r="E3303" s="0" t="inlineStr">
        <is>
          <t>lắp và tháo (hàng hóa/thiết bị)</t>
        </is>
      </c>
      <c r="F3303" s="0" t="inlineStr">
        <is>
          <t>仓库里的机器可以随意装卸配件，工人师傅用中文教我怎么操作。</t>
        </is>
      </c>
      <c r="H3303" s="0">
        <f>G956=B956</f>
        <v/>
      </c>
    </row>
    <row r="3304">
      <c r="A3304" s="0" t="inlineStr">
        <is>
          <t>Bài 21</t>
        </is>
      </c>
      <c r="B3304" s="0" t="inlineStr">
        <is>
          <t>屏幕</t>
        </is>
      </c>
      <c r="C3304" s="0" t="inlineStr">
        <is>
          <t>píngmù</t>
        </is>
      </c>
      <c r="D3304" s="0" t="inlineStr">
        <is>
          <t>电视、电脑等用来显示画面的部分</t>
        </is>
      </c>
      <c r="E3304" s="0" t="inlineStr">
        <is>
          <t>màn hình</t>
        </is>
      </c>
      <c r="F3304" s="0" t="inlineStr">
        <is>
          <t>我把生词表设成手机屏幕的锁屏壁纸，随时能看到。</t>
        </is>
      </c>
    </row>
    <row r="3305">
      <c r="A3305" s="0" t="inlineStr">
        <is>
          <t>Bài 21</t>
        </is>
      </c>
      <c r="B3305" s="0" t="inlineStr">
        <is>
          <t>性能</t>
        </is>
      </c>
      <c r="C3305" s="0" t="inlineStr">
        <is>
          <t>xìngnéng</t>
        </is>
      </c>
      <c r="D3305" s="0" t="inlineStr">
        <is>
          <t>机器或产品的功能和效果</t>
        </is>
      </c>
      <c r="E3305" s="0" t="inlineStr">
        <is>
          <t>tính năng</t>
        </is>
      </c>
      <c r="F3305" s="0" t="inlineStr">
        <is>
          <t>这个词典软件的性能不错，查生词特别快。</t>
        </is>
      </c>
    </row>
    <row r="3306">
      <c r="A3306" s="0" t="inlineStr">
        <is>
          <t>Bài 21</t>
        </is>
      </c>
      <c r="B3306" s="0" t="inlineStr">
        <is>
          <t>运算</t>
        </is>
      </c>
      <c r="C3306" s="0" t="inlineStr">
        <is>
          <t>yùnsuàn</t>
        </is>
      </c>
      <c r="D3306" s="0" t="inlineStr">
        <is>
          <t>按数学方法进行计算</t>
        </is>
      </c>
      <c r="E3306" s="0" t="inlineStr">
        <is>
          <t>tính toán, vận toán</t>
        </is>
      </c>
      <c r="F3306" s="0" t="inlineStr">
        <is>
          <t>HSK听力里出现数学运算的题目时，我总是反应慢半拍。</t>
        </is>
      </c>
    </row>
    <row r="3307">
      <c r="A3307" s="0" t="inlineStr">
        <is>
          <t>Bài 21</t>
        </is>
      </c>
      <c r="B3307" s="0" t="inlineStr">
        <is>
          <t>需求</t>
        </is>
      </c>
      <c r="C3307" s="0" t="inlineStr">
        <is>
          <t>xūqiú</t>
        </is>
      </c>
      <c r="D3307" s="0" t="inlineStr">
        <is>
          <t>需要的东西或程度</t>
        </is>
      </c>
      <c r="E3307" s="0" t="inlineStr">
        <is>
          <t>nhu cầu</t>
        </is>
      </c>
      <c r="F3307" s="0" t="inlineStr">
        <is>
          <t>根据学生的需求，我把HSK1的课调整得更简单一些。</t>
        </is>
      </c>
    </row>
    <row r="3308">
      <c r="A3308" s="0" t="inlineStr">
        <is>
          <t>Bài 21</t>
        </is>
      </c>
      <c r="B3308" s="0" t="inlineStr">
        <is>
          <t>新颖</t>
        </is>
      </c>
      <c r="C3308" s="0" t="inlineStr">
        <is>
          <t>xīnyǐng</t>
        </is>
      </c>
      <c r="D3308" s="0" t="inlineStr">
        <is>
          <t>新的、有创意的样子</t>
        </is>
      </c>
      <c r="E3308" s="0" t="inlineStr">
        <is>
          <t>mới lạ, độc đáo</t>
        </is>
      </c>
      <c r="F3308" s="0" t="inlineStr">
        <is>
          <t>这次老师出的作文题目挺新颖的，我一下子就有想法了。</t>
        </is>
      </c>
      <c r="H3308" s="0">
        <f>G990=B990</f>
        <v/>
      </c>
    </row>
    <row r="3309">
      <c r="A3309" s="0" t="inlineStr">
        <is>
          <t>Bài 21</t>
        </is>
      </c>
      <c r="B3309" s="0" t="inlineStr">
        <is>
          <t>便利</t>
        </is>
      </c>
      <c r="C3309" s="0" t="inlineStr">
        <is>
          <t>biànlì</t>
        </is>
      </c>
      <c r="D3309" s="0" t="inlineStr">
        <is>
          <t>很方便</t>
        </is>
      </c>
      <c r="E3309" s="0" t="inlineStr">
        <is>
          <t>tiện lợi</t>
        </is>
      </c>
      <c r="F3309" s="0" t="inlineStr">
        <is>
          <t>手机上的翻译软件给我学中文带来了很大便利。</t>
        </is>
      </c>
      <c r="H3309" s="0">
        <f>G963=B963</f>
        <v/>
      </c>
    </row>
    <row r="3310">
      <c r="A3310" s="0" t="inlineStr">
        <is>
          <t>Bài 21</t>
        </is>
      </c>
      <c r="B3310" s="0" t="inlineStr">
        <is>
          <t>把关</t>
        </is>
      </c>
      <c r="C3310" s="0" t="inlineStr">
        <is>
          <t>bǎguān</t>
        </is>
      </c>
      <c r="D3310" s="0" t="inlineStr">
        <is>
          <t>严格检查，把好质量这一关</t>
        </is>
      </c>
      <c r="E3310" s="0" t="inlineStr">
        <is>
          <t>kiểm soát chặt chẽ, gác cổng chất lượng</t>
        </is>
      </c>
      <c r="F3310" s="0" t="inlineStr">
        <is>
          <t>每次写完作文，我都请中国朋友帮我把关一下用词。</t>
        </is>
      </c>
      <c r="H3310" s="0">
        <f>G964=B964</f>
        <v/>
      </c>
    </row>
    <row r="3311">
      <c r="A3311" s="0" t="inlineStr">
        <is>
          <t>Bài 21</t>
        </is>
      </c>
      <c r="B3311" s="0" t="inlineStr">
        <is>
          <t>人工</t>
        </is>
      </c>
      <c r="C3311" s="0" t="inlineStr">
        <is>
          <t>réngōng</t>
        </is>
      </c>
      <c r="D3311" s="0" t="inlineStr">
        <is>
          <t>人做的，不是天然的</t>
        </is>
      </c>
      <c r="E3311" s="0" t="inlineStr">
        <is>
          <t>nhân tạo</t>
        </is>
      </c>
      <c r="F3311" s="0" t="inlineStr">
        <is>
          <t>我用人工智能软件生成练习题，再自己检查一遍答案对不对。</t>
        </is>
      </c>
      <c r="H3311" s="0">
        <f>G965=B965</f>
        <v/>
      </c>
    </row>
    <row r="3312">
      <c r="A3312" s="0" t="inlineStr">
        <is>
          <t>Bài 21</t>
        </is>
      </c>
      <c r="B3312" s="0" t="inlineStr">
        <is>
          <t>秤</t>
        </is>
      </c>
      <c r="C3312" s="0" t="inlineStr">
        <is>
          <t>chèng</t>
        </is>
      </c>
      <c r="D3312" s="0" t="inlineStr">
        <is>
          <t>称重量的工具</t>
        </is>
      </c>
      <c r="E3312" s="0" t="inlineStr">
        <is>
          <t>cái cân</t>
        </is>
      </c>
      <c r="F3312" s="0" t="inlineStr">
        <is>
          <t>在中国的菜市场买菜，老板会用秤称重量，我得听懂数字才能付对钱。</t>
        </is>
      </c>
      <c r="H3312" s="0">
        <f>G966=B966</f>
        <v/>
      </c>
    </row>
    <row r="3313">
      <c r="A3313" s="0" t="inlineStr">
        <is>
          <t>Bài 21</t>
        </is>
      </c>
      <c r="B3313" s="0" t="inlineStr">
        <is>
          <t>总和</t>
        </is>
      </c>
      <c r="C3313" s="0" t="inlineStr">
        <is>
          <t>zǒnghé</t>
        </is>
      </c>
      <c r="D3313" s="0" t="inlineStr">
        <is>
          <t>加起来的总数量</t>
        </is>
      </c>
      <c r="E3313" s="0" t="inlineStr">
        <is>
          <t>tổng số, tổng cộng</t>
        </is>
      </c>
      <c r="F3313" s="0" t="inlineStr">
        <is>
          <t>这三个月我背的生词总和已经超过一千个了。</t>
        </is>
      </c>
      <c r="H3313" s="0">
        <f>G967=B967</f>
        <v/>
      </c>
    </row>
    <row r="3314">
      <c r="A3314" s="0" t="inlineStr">
        <is>
          <t>Bài 21</t>
        </is>
      </c>
      <c r="B3314" s="0" t="inlineStr">
        <is>
          <t>着重</t>
        </is>
      </c>
      <c r="C3314" s="0" t="inlineStr">
        <is>
          <t>zhuózhòng</t>
        </is>
      </c>
      <c r="D3314" s="0" t="inlineStr">
        <is>
          <t>把重点放在某方面，重点强调</t>
        </is>
      </c>
      <c r="E3314" s="0" t="inlineStr">
        <is>
          <t>nhấn mạnh, chú trọng</t>
        </is>
      </c>
      <c r="F3314" s="0" t="inlineStr">
        <is>
          <t>复习HSK6写作时，我着重练习了怎么用成语。</t>
        </is>
      </c>
      <c r="H3314" s="0">
        <f>G958=B958</f>
        <v/>
      </c>
    </row>
    <row r="3315">
      <c r="A3315" s="0" t="inlineStr">
        <is>
          <t>Bài 21</t>
        </is>
      </c>
      <c r="B3315" s="0" t="inlineStr">
        <is>
          <t>反馈</t>
        </is>
      </c>
      <c r="C3315" s="0" t="inlineStr">
        <is>
          <t>fǎnkuì</t>
        </is>
      </c>
      <c r="D3315" s="0" t="inlineStr">
        <is>
          <t>把意见或结果回复给对方</t>
        </is>
      </c>
      <c r="E3315" s="0" t="inlineStr">
        <is>
          <t>phản hồi</t>
        </is>
      </c>
      <c r="F3315" s="0" t="inlineStr">
        <is>
          <t>每次批改学生的作业，我都会给他们详细的反馈。</t>
        </is>
      </c>
      <c r="H3315" s="0">
        <f>G961=B961</f>
        <v/>
      </c>
    </row>
    <row r="3316">
      <c r="A3316" s="0" t="inlineStr">
        <is>
          <t>Bài 21</t>
        </is>
      </c>
      <c r="B3316" s="0" t="inlineStr">
        <is>
          <t>虚拟</t>
        </is>
      </c>
      <c r="C3316" s="0" t="inlineStr">
        <is>
          <t>xūnǐ</t>
        </is>
      </c>
      <c r="D3316" s="0" t="inlineStr">
        <is>
          <t>不是真的，假设出来的</t>
        </is>
      </c>
      <c r="E3316" s="0" t="inlineStr">
        <is>
          <t>ảo, hư cấu</t>
        </is>
      </c>
      <c r="F3316" s="0" t="inlineStr">
        <is>
          <t>我加入了一个虚拟中文角，每周跟外国朋友视频练口语。</t>
        </is>
      </c>
      <c r="H3316" s="0">
        <f>G959=B959</f>
        <v/>
      </c>
    </row>
    <row r="3317">
      <c r="A3317" s="0" t="inlineStr">
        <is>
          <t>Bài 21</t>
        </is>
      </c>
      <c r="B3317" s="0" t="inlineStr">
        <is>
          <t>投票</t>
        </is>
      </c>
      <c r="C3317" s="0" t="inlineStr">
        <is>
          <t>tóupiào</t>
        </is>
      </c>
      <c r="D3317" s="0" t="inlineStr">
        <is>
          <t>用投票的方式表达自己的选择</t>
        </is>
      </c>
      <c r="E3317" s="0" t="inlineStr">
        <is>
          <t>bỏ phiếu</t>
        </is>
      </c>
      <c r="F3317" s="0" t="inlineStr">
        <is>
          <t>班里学生投票决定下节课要学的话题。</t>
        </is>
      </c>
      <c r="H3317" s="0">
        <f>G988=B988</f>
        <v/>
      </c>
    </row>
    <row r="3318">
      <c r="A3318" s="0" t="inlineStr">
        <is>
          <t>Bài 21</t>
        </is>
      </c>
      <c r="B3318" s="0" t="inlineStr">
        <is>
          <t>保管</t>
        </is>
      </c>
      <c r="C3318" s="0" t="inlineStr">
        <is>
          <t>bǎoguǎn</t>
        </is>
      </c>
      <c r="D3318" s="0" t="inlineStr">
        <is>
          <t>口语说法，等于“一定、保证”</t>
        </is>
      </c>
      <c r="E3318" s="0" t="inlineStr">
        <is>
          <t>chắc chắn, bảo đảm (khẩu ngữ)</t>
        </is>
      </c>
      <c r="F3318" s="0" t="inlineStr">
        <is>
          <t>这套语法讲解很清楚，你听完保管一下就懂。</t>
        </is>
      </c>
      <c r="H3318" s="0">
        <f>G989=B989</f>
        <v/>
      </c>
    </row>
    <row r="3319">
      <c r="A3319" s="0" t="inlineStr">
        <is>
          <t>Bài 21</t>
        </is>
      </c>
      <c r="B3319" s="0" t="inlineStr">
        <is>
          <t>中意</t>
        </is>
      </c>
      <c r="C3319" s="0" t="inlineStr">
        <is>
          <t>zhòngyì</t>
        </is>
      </c>
      <c r="D3319" s="0" t="inlineStr">
        <is>
          <t>很喜欢，觉得合心意</t>
        </is>
      </c>
      <c r="E3319" s="0" t="inlineStr">
        <is>
          <t>vừa ý, ưng ý</t>
        </is>
      </c>
      <c r="F3319" s="0" t="inlineStr">
        <is>
          <t>我在书店挑了半天，终于找到一本很中意的HSK6真题集。</t>
        </is>
      </c>
      <c r="H3319" s="0">
        <f>G991=B991</f>
        <v/>
      </c>
    </row>
    <row r="3320">
      <c r="A3320" s="0" t="inlineStr">
        <is>
          <t>Bài 21</t>
        </is>
      </c>
      <c r="B3320" s="0" t="inlineStr">
        <is>
          <t>关怀</t>
        </is>
      </c>
      <c r="C3320" s="0" t="inlineStr">
        <is>
          <t>guānhuái</t>
        </is>
      </c>
      <c r="D3320" s="0" t="inlineStr">
        <is>
          <t>关心、照顾</t>
        </is>
      </c>
      <c r="E3320" s="0" t="inlineStr">
        <is>
          <t>quan tâm, chăm sóc</t>
        </is>
      </c>
      <c r="F3320" s="0" t="inlineStr">
        <is>
          <t>老师对我的学习进度一直很关怀，经常主动问我哪里有困难。</t>
        </is>
      </c>
      <c r="H3320" s="0">
        <f>G992=B992</f>
        <v/>
      </c>
    </row>
    <row r="3321">
      <c r="A3321" s="0" t="inlineStr">
        <is>
          <t>Bài 21</t>
        </is>
      </c>
      <c r="B3321" s="0" t="inlineStr">
        <is>
          <t>无微不至</t>
        </is>
      </c>
      <c r="C3321" s="0" t="inlineStr">
        <is>
          <t>wúwēibùzhì</t>
        </is>
      </c>
      <c r="D3321" s="0" t="inlineStr">
        <is>
          <t>照顾得非常细心、周到，没有一点疏忽</t>
        </is>
      </c>
      <c r="E3321" s="0" t="inlineStr">
        <is>
          <t>chăm sóc chu đáo tỉ mỉ</t>
        </is>
      </c>
      <c r="F3321" s="0" t="inlineStr">
        <is>
          <t>中国同事对刚来的我照顾得无微不至，连吃饭习惯都替我考虑到了。</t>
        </is>
      </c>
      <c r="H3321" s="0">
        <f>G962=B962</f>
        <v/>
      </c>
    </row>
    <row r="3322">
      <c r="A3322" s="0" t="inlineStr">
        <is>
          <t>Bài 21</t>
        </is>
      </c>
      <c r="B3322" s="0" t="inlineStr">
        <is>
          <t>羽绒服</t>
        </is>
      </c>
      <c r="C3322" s="0" t="inlineStr">
        <is>
          <t>yǔróngfú</t>
        </is>
      </c>
      <c r="D3322" s="0" t="inlineStr">
        <is>
          <t>里面装有羽毛、很保暖的外套</t>
        </is>
      </c>
      <c r="E3322" s="0" t="inlineStr">
        <is>
          <t>áo lông vũ, áo phao</t>
        </is>
      </c>
      <c r="F3322" s="0" t="inlineStr">
        <is>
          <t>冬天在中国工作，我得穿一件厚厚的羽绒服才扛得住。</t>
        </is>
      </c>
      <c r="H3322" s="0">
        <f>G978=B978</f>
        <v/>
      </c>
    </row>
    <row r="3323">
      <c r="A3323" s="0" t="inlineStr">
        <is>
          <t>Bài 21</t>
        </is>
      </c>
      <c r="B3323" s="0" t="inlineStr">
        <is>
          <t>旗袍</t>
        </is>
      </c>
      <c r="C3323" s="0" t="inlineStr">
        <is>
          <t>qípáo</t>
        </is>
      </c>
      <c r="D3323" s="0" t="inlineStr">
        <is>
          <t>中国传统的女式长衫</t>
        </is>
      </c>
      <c r="E3323" s="0" t="inlineStr">
        <is>
          <t>sườn xám (áo dài truyền thống Trung Quốc)</t>
        </is>
      </c>
      <c r="F3323" s="0" t="inlineStr">
        <is>
          <t>学校春节活动上，我特意穿了一件旗袍来体验中国文化。</t>
        </is>
      </c>
      <c r="H3323" s="0">
        <f>G979=B979</f>
        <v/>
      </c>
    </row>
    <row r="3324">
      <c r="A3324" s="0" t="inlineStr">
        <is>
          <t>Bài 21</t>
        </is>
      </c>
      <c r="B3324" s="0" t="inlineStr">
        <is>
          <t>音响</t>
        </is>
      </c>
      <c r="C3324" s="0" t="inlineStr">
        <is>
          <t>yīnxiǎng</t>
        </is>
      </c>
      <c r="D3324" s="0" t="inlineStr">
        <is>
          <t>播放声音的电器设备</t>
        </is>
      </c>
      <c r="E3324" s="0" t="inlineStr">
        <is>
          <t>dàn âm thanh, loa</t>
        </is>
      </c>
      <c r="F3324" s="0" t="inlineStr">
        <is>
          <t>我上课用小音响放录音，学生的听力效果好多了。</t>
        </is>
      </c>
      <c r="H3324" s="0">
        <f>G980=B980</f>
        <v/>
      </c>
    </row>
    <row r="3325">
      <c r="A3325" s="0" t="inlineStr">
        <is>
          <t>Bài 21</t>
        </is>
      </c>
      <c r="B3325" s="0" t="inlineStr">
        <is>
          <t>收音机</t>
        </is>
      </c>
      <c r="C3325" s="0" t="inlineStr">
        <is>
          <t>shōuyīnjī</t>
        </is>
      </c>
      <c r="D3325" s="0" t="inlineStr">
        <is>
          <t>听广播的机器</t>
        </is>
      </c>
      <c r="E3325" s="0" t="inlineStr">
        <is>
          <t>radio</t>
        </is>
      </c>
      <c r="F3325" s="0" t="inlineStr">
        <is>
          <t>我每天开车上班时打开收音机听中文广播练听力。</t>
        </is>
      </c>
      <c r="H3325" s="0">
        <f>G981=B981</f>
        <v/>
      </c>
    </row>
    <row r="3326">
      <c r="A3326" s="0" t="inlineStr">
        <is>
          <t>Bài 21</t>
        </is>
      </c>
      <c r="B3326" s="0" t="inlineStr">
        <is>
          <t>水龙头</t>
        </is>
      </c>
      <c r="C3326" s="0" t="inlineStr">
        <is>
          <t>shuǐlóngtóu</t>
        </is>
      </c>
      <c r="D3326" s="0" t="inlineStr">
        <is>
          <t>控制出水的开关</t>
        </is>
      </c>
      <c r="E3326" s="0" t="inlineStr">
        <is>
          <t>vòi nước</t>
        </is>
      </c>
      <c r="F3326" s="0" t="inlineStr">
        <is>
          <t>教室里的水龙头坏了，我只好带学生去隔壁洗手。</t>
        </is>
      </c>
      <c r="H3326" s="0">
        <f>G982=B982</f>
        <v/>
      </c>
    </row>
    <row r="3327">
      <c r="A3327" s="0" t="inlineStr">
        <is>
          <t>Bài 21</t>
        </is>
      </c>
      <c r="B3327" s="0" t="inlineStr">
        <is>
          <t>纽扣儿</t>
        </is>
      </c>
      <c r="C3327" s="0" t="inlineStr">
        <is>
          <t>niǔkòur</t>
        </is>
      </c>
      <c r="D3327" s="0" t="inlineStr">
        <is>
          <t>衣服上用来扣紧的小圆片</t>
        </is>
      </c>
      <c r="E3327" s="0" t="inlineStr">
        <is>
          <t>cúc áo, khuy áo</t>
        </is>
      </c>
      <c r="F3327" s="0" t="inlineStr">
        <is>
          <t>衬衫上有颗纽扣儿掉了，我得找时间缝一下。</t>
        </is>
      </c>
      <c r="H3327" s="0">
        <f>G983=B983</f>
        <v/>
      </c>
    </row>
    <row r="3328">
      <c r="A3328" s="0" t="inlineStr">
        <is>
          <t>Bài 21</t>
        </is>
      </c>
      <c r="B3328" s="0" t="inlineStr">
        <is>
          <t>插座</t>
        </is>
      </c>
      <c r="C3328" s="0" t="inlineStr">
        <is>
          <t>chāzuò</t>
        </is>
      </c>
      <c r="D3328" s="0" t="inlineStr">
        <is>
          <t>插电的地方</t>
        </is>
      </c>
      <c r="E3328" s="0" t="inlineStr">
        <is>
          <t>ổ cắm điện</t>
        </is>
      </c>
      <c r="F3328" s="0" t="inlineStr">
        <is>
          <t>教室里的插座不够用，我得带个插线板去给学生放音频。</t>
        </is>
      </c>
      <c r="H3328" s="0">
        <f>G960=B960</f>
        <v/>
      </c>
    </row>
    <row r="3329">
      <c r="A3329" s="0" t="inlineStr">
        <is>
          <t>Bài 21</t>
        </is>
      </c>
      <c r="B3329" s="0" t="inlineStr">
        <is>
          <t>勘探</t>
        </is>
      </c>
      <c r="C3329" s="0" t="inlineStr">
        <is>
          <t>kāntàn</t>
        </is>
      </c>
      <c r="D3329" s="0" t="inlineStr">
        <is>
          <t>到野外寻找、勘察矿产资源</t>
        </is>
      </c>
      <c r="E3329" s="0" t="inlineStr">
        <is>
          <t>thăm dò (khoáng sản)</t>
        </is>
      </c>
      <c r="F3329" s="0" t="inlineStr">
        <is>
          <t>有篇HSK6阅读讲的是科学家去沙漠勘探石油的故事，词汇特别多。</t>
        </is>
      </c>
      <c r="H3329" s="0">
        <f>G973=B973</f>
        <v/>
      </c>
    </row>
    <row r="3330">
      <c r="A3330" s="0" t="inlineStr">
        <is>
          <t>Bài 21</t>
        </is>
      </c>
      <c r="B3330" s="0" t="inlineStr">
        <is>
          <t>矿产</t>
        </is>
      </c>
      <c r="C3330" s="0" t="inlineStr">
        <is>
          <t>kuàngchǎn</t>
        </is>
      </c>
      <c r="D3330" s="0" t="inlineStr">
        <is>
          <t>地下埋藏的矿物资源</t>
        </is>
      </c>
      <c r="E3330" s="0" t="inlineStr">
        <is>
          <t>khoáng sản</t>
        </is>
      </c>
      <c r="F3330" s="0" t="inlineStr">
        <is>
          <t>这篇课文讲的是中国某个地区丰富的矿产资源。</t>
        </is>
      </c>
      <c r="H3330" s="0">
        <f>G974=B974</f>
        <v/>
      </c>
    </row>
    <row r="3331">
      <c r="A3331" s="0" t="inlineStr">
        <is>
          <t>Bài 21</t>
        </is>
      </c>
      <c r="B3331" s="0" t="inlineStr">
        <is>
          <t>款式</t>
        </is>
      </c>
      <c r="C3331" s="0" t="inlineStr">
        <is>
          <t>kuǎnshì</t>
        </is>
      </c>
      <c r="D3331" s="0" t="inlineStr">
        <is>
          <t>衣服等物品的样式</t>
        </is>
      </c>
      <c r="E3331" s="0" t="inlineStr">
        <is>
          <t>kiểu dáng</t>
        </is>
      </c>
      <c r="F3331" s="0" t="inlineStr">
        <is>
          <t>我买了一本款式简单、方便携带的生词小本子。</t>
        </is>
      </c>
      <c r="H3331" s="0">
        <f>G975=B975</f>
        <v/>
      </c>
    </row>
    <row r="3332">
      <c r="A3332" s="0" t="inlineStr">
        <is>
          <t>Bài 21</t>
        </is>
      </c>
      <c r="B3332" s="0" t="inlineStr">
        <is>
          <t>主导</t>
        </is>
      </c>
      <c r="C3332" s="0" t="inlineStr">
        <is>
          <t>zhǔdǎo</t>
        </is>
      </c>
      <c r="D3332" s="0" t="inlineStr">
        <is>
          <t>起主要、引导作用的</t>
        </is>
      </c>
      <c r="E3332" s="0" t="inlineStr">
        <is>
          <t>chủ đạo, dẫn dắt</t>
        </is>
      </c>
      <c r="F3332" s="0" t="inlineStr">
        <is>
          <t>备考HSK6时，我让阅读和写作主导我的复习计划，因为这两项最容易提分。</t>
        </is>
      </c>
      <c r="H3332" s="0">
        <f>G976=B976</f>
        <v/>
      </c>
    </row>
    <row r="3333">
      <c r="A3333" s="0" t="inlineStr">
        <is>
          <t>Bài 21</t>
        </is>
      </c>
      <c r="B3333" s="0" t="inlineStr">
        <is>
          <t>兴隆</t>
        </is>
      </c>
      <c r="C3333" s="0" t="inlineStr">
        <is>
          <t>xīnglóng</t>
        </is>
      </c>
      <c r="D3333" s="0" t="inlineStr">
        <is>
          <t>生意好，很兴旺</t>
        </is>
      </c>
      <c r="E3333" s="0" t="inlineStr">
        <is>
          <t>thịnh vượng, phát đạt</t>
        </is>
      </c>
      <c r="F3333" s="0" t="inlineStr">
        <is>
          <t>那家我常去的中文书店生意很兴隆，老板还记得我喜欢买什么书。</t>
        </is>
      </c>
      <c r="H3333" s="0">
        <f>G977=B977</f>
        <v/>
      </c>
    </row>
    <row r="3334">
      <c r="A3334" s="0" t="inlineStr">
        <is>
          <t>Bài 35</t>
        </is>
      </c>
      <c r="B3334" s="0" t="inlineStr">
        <is>
          <t>起源</t>
        </is>
      </c>
      <c r="C3334" s="0" t="inlineStr">
        <is>
          <t>qǐyuán</t>
        </is>
      </c>
      <c r="D3334" s="0" t="inlineStr">
        <is>
          <t>事情开始的地方或原因</t>
        </is>
      </c>
      <c r="E3334" s="0" t="inlineStr">
        <is>
          <t>nguồn gốc, khởi nguyên</t>
        </is>
      </c>
      <c r="F3334" s="0" t="inlineStr">
        <is>
          <t>老师说汉字的起源要从甲骨文讲起，我这才第一次认真了解。</t>
        </is>
      </c>
      <c r="G3334" s="0" t="inlineStr"/>
      <c r="H3334" s="0" t="inlineStr"/>
    </row>
    <row r="3335">
      <c r="A3335" s="0" t="inlineStr">
        <is>
          <t>Bài 35</t>
        </is>
      </c>
      <c r="B3335" s="0" t="inlineStr">
        <is>
          <t>文献</t>
        </is>
      </c>
      <c r="C3335" s="0" t="inlineStr">
        <is>
          <t>wénxiàn</t>
        </is>
      </c>
      <c r="D3335" s="0" t="inlineStr">
        <is>
          <t>记录知识、历史的书面资料</t>
        </is>
      </c>
      <c r="E3335" s="0" t="inlineStr">
        <is>
          <t>văn hiến, tài liệu (sách vở)</t>
        </is>
      </c>
      <c r="F3335" s="0" t="inlineStr">
        <is>
          <t>写HSK6作文找不到灵感时，我会翻翻中国文化方面的文献找素材。</t>
        </is>
      </c>
      <c r="G3335" s="0" t="inlineStr"/>
      <c r="H3335" s="0" t="inlineStr"/>
    </row>
    <row r="3336">
      <c r="A3336" s="0" t="inlineStr">
        <is>
          <t>Bài 35</t>
        </is>
      </c>
      <c r="B3336" s="0" t="inlineStr">
        <is>
          <t>凶恶</t>
        </is>
      </c>
      <c r="C3336" s="0" t="inlineStr">
        <is>
          <t>xiōng'è</t>
        </is>
      </c>
      <c r="D3336" s="0" t="inlineStr">
        <is>
          <t>样子很可怕，让人害怕</t>
        </is>
      </c>
      <c r="E3336" s="0" t="inlineStr">
        <is>
          <t>hung ác, dữ tợn</t>
        </is>
      </c>
      <c r="F3336" s="0" t="inlineStr">
        <is>
          <t>门神画上的门神表情都很凶恶，据说是为了吓跑妖怪。</t>
        </is>
      </c>
      <c r="G3336" s="0" t="inlineStr"/>
      <c r="H3336" s="0" t="inlineStr"/>
    </row>
    <row r="3337">
      <c r="A3337" s="0" t="inlineStr">
        <is>
          <t>Bài 35</t>
        </is>
      </c>
      <c r="B3337" s="0" t="inlineStr">
        <is>
          <t>揭露</t>
        </is>
      </c>
      <c r="C3337" s="0" t="inlineStr">
        <is>
          <t>jiēlù</t>
        </is>
      </c>
      <c r="D3337" s="0" t="inlineStr">
        <is>
          <t>把隐藏的事情或真相说出来</t>
        </is>
      </c>
      <c r="E3337" s="0" t="inlineStr">
        <is>
          <t>vạch trần, phơi bày</t>
        </is>
      </c>
      <c r="F3337" s="0" t="inlineStr">
        <is>
          <t>这篇阅读理解揭露了古代年画背后的一个有趣传说。</t>
        </is>
      </c>
      <c r="G3337" s="0" t="inlineStr"/>
      <c r="H3337" s="0" t="inlineStr"/>
    </row>
    <row r="3338">
      <c r="A3338" s="0" t="inlineStr">
        <is>
          <t>Bài 35</t>
        </is>
      </c>
      <c r="B3338" s="0" t="inlineStr">
        <is>
          <t>昌盛</t>
        </is>
      </c>
      <c r="C3338" s="0" t="inlineStr">
        <is>
          <t>chāngshèng</t>
        </is>
      </c>
      <c r="D3338" s="0" t="inlineStr">
        <is>
          <t>国家、事业很兴旺发达</t>
        </is>
      </c>
      <c r="E3338" s="0" t="inlineStr">
        <is>
          <t>hưng thịnh, phồn vinh</t>
        </is>
      </c>
      <c r="F3338" s="0" t="inlineStr">
        <is>
          <t>唐宋时期文化昌盛，很多传统艺术都是那时候发展起来的。</t>
        </is>
      </c>
      <c r="G3338" s="0" t="inlineStr"/>
      <c r="H3338" s="0" t="inlineStr"/>
    </row>
    <row r="3339">
      <c r="A3339" s="0" t="inlineStr">
        <is>
          <t>Bài 35</t>
        </is>
      </c>
      <c r="B3339" s="0" t="inlineStr">
        <is>
          <t>题材</t>
        </is>
      </c>
      <c r="C3339" s="0" t="inlineStr">
        <is>
          <t>tícái</t>
        </is>
      </c>
      <c r="D3339" s="0" t="inlineStr">
        <is>
          <t>写作、绘画等作品选用的内容</t>
        </is>
      </c>
      <c r="E3339" s="0" t="inlineStr">
        <is>
          <t>đề tài (sáng tác)</t>
        </is>
      </c>
      <c r="F3339" s="0" t="inlineStr">
        <is>
          <t>这次HSK6作文的题材是传统文化，正好我最近在学年画。</t>
        </is>
      </c>
      <c r="G3339" s="0" t="inlineStr"/>
      <c r="H3339" s="0" t="inlineStr"/>
    </row>
    <row r="3340">
      <c r="A3340" s="0" t="inlineStr">
        <is>
          <t>Bài 35</t>
        </is>
      </c>
      <c r="B3340" s="0" t="inlineStr">
        <is>
          <t>驱逐</t>
        </is>
      </c>
      <c r="C3340" s="0" t="inlineStr">
        <is>
          <t>qūzhú</t>
        </is>
      </c>
      <c r="D3340" s="0" t="inlineStr">
        <is>
          <t>用力量把人或东西赶走</t>
        </is>
      </c>
      <c r="E3340" s="0" t="inlineStr">
        <is>
          <t>trục xuất, xua đuổi</t>
        </is>
      </c>
      <c r="F3340" s="0" t="inlineStr">
        <is>
          <t>传说门神的作用是驱逐鬼怪，保护家里平安。</t>
        </is>
      </c>
      <c r="G3340" s="0" t="inlineStr"/>
      <c r="H3340" s="0" t="inlineStr"/>
    </row>
    <row r="3341">
      <c r="A3341" s="0" t="inlineStr">
        <is>
          <t>Bài 35</t>
        </is>
      </c>
      <c r="B3341" s="0" t="inlineStr">
        <is>
          <t>吉祥</t>
        </is>
      </c>
      <c r="C3341" s="0" t="inlineStr">
        <is>
          <t>jíxiáng</t>
        </is>
      </c>
      <c r="D3341" s="0" t="inlineStr">
        <is>
          <t>好运气，会带来好事的</t>
        </is>
      </c>
      <c r="E3341" s="0" t="inlineStr">
        <is>
          <t>may mắn, cát tường</t>
        </is>
      </c>
      <c r="F3341" s="0" t="inlineStr">
        <is>
          <t>过年时，中国朋友教我说几句吉祥话，讨个好彩头。</t>
        </is>
      </c>
      <c r="G3341" s="0" t="inlineStr"/>
      <c r="H3341" s="0" t="inlineStr"/>
    </row>
    <row r="3342">
      <c r="A3342" s="0" t="inlineStr">
        <is>
          <t>Bài 35</t>
        </is>
      </c>
      <c r="B3342" s="0" t="inlineStr">
        <is>
          <t>里程碑</t>
        </is>
      </c>
      <c r="C3342" s="0" t="inlineStr">
        <is>
          <t>lǐchéngbēi</t>
        </is>
      </c>
      <c r="D3342" s="0" t="inlineStr">
        <is>
          <t>标志着重要发展阶段的事件</t>
        </is>
      </c>
      <c r="E3342" s="0" t="inlineStr">
        <is>
          <t>cột mốc, dấu mốc quan trọng</t>
        </is>
      </c>
      <c r="F3342" s="0" t="inlineStr">
        <is>
          <t>考过HSK5那天，对我来说是学中文路上的一个里程碑。</t>
        </is>
      </c>
      <c r="G3342" s="0" t="inlineStr"/>
      <c r="H3342" s="0" t="inlineStr"/>
    </row>
    <row r="3343">
      <c r="A3343" s="0" t="inlineStr">
        <is>
          <t>Bài 35</t>
        </is>
      </c>
      <c r="B3343" s="0" t="inlineStr">
        <is>
          <t>墨水儿</t>
        </is>
      </c>
      <c r="C3343" s="0" t="inlineStr">
        <is>
          <t>mòshuǐr</t>
        </is>
      </c>
      <c r="D3343" s="0" t="inlineStr">
        <is>
          <t>写字画画用的黑色液体</t>
        </is>
      </c>
      <c r="E3343" s="0" t="inlineStr">
        <is>
          <t>mực (nước mực)</t>
        </is>
      </c>
      <c r="F3343" s="0" t="inlineStr">
        <is>
          <t>毛笔字课上，我不小心把墨水儿滴到了作业本上。</t>
        </is>
      </c>
      <c r="G3343" s="0" t="inlineStr"/>
      <c r="H3343" s="0" t="inlineStr"/>
    </row>
    <row r="3344">
      <c r="A3344" s="0" t="inlineStr">
        <is>
          <t>Bài 35</t>
        </is>
      </c>
      <c r="B3344" s="0" t="inlineStr">
        <is>
          <t>盖章</t>
        </is>
      </c>
      <c r="C3344" s="0" t="inlineStr">
        <is>
          <t>gàizhāng</t>
        </is>
      </c>
      <c r="D3344" s="0" t="inlineStr">
        <is>
          <t>在文件上按印章</t>
        </is>
      </c>
      <c r="E3344" s="0" t="inlineStr">
        <is>
          <t>đóng dấu</t>
        </is>
      </c>
      <c r="F3344" s="0" t="inlineStr">
        <is>
          <t>办居留证的时候，工作人员在我的材料上盖章确认。</t>
        </is>
      </c>
      <c r="G3344" s="0" t="inlineStr"/>
      <c r="H3344" s="0" t="inlineStr"/>
    </row>
    <row r="3345">
      <c r="A3345" s="0" t="inlineStr">
        <is>
          <t>Bài 35</t>
        </is>
      </c>
      <c r="B3345" s="0" t="inlineStr">
        <is>
          <t>联想</t>
        </is>
      </c>
      <c r="C3345" s="0" t="inlineStr">
        <is>
          <t>liánxiǎng</t>
        </is>
      </c>
      <c r="D3345" s="0" t="inlineStr">
        <is>
          <t>由一件事想到另一件事</t>
        </is>
      </c>
      <c r="E3345" s="0" t="inlineStr">
        <is>
          <t>liên tưởng</t>
        </is>
      </c>
      <c r="F3345" s="0" t="inlineStr">
        <is>
          <t>一看到年画上的老虎，我就联想到小时候过年贴的门神。</t>
        </is>
      </c>
      <c r="G3345" s="0" t="inlineStr"/>
      <c r="H3345" s="0" t="inlineStr"/>
    </row>
    <row r="3346">
      <c r="A3346" s="0" t="inlineStr">
        <is>
          <t>Bài 35</t>
        </is>
      </c>
      <c r="B3346" s="0" t="inlineStr">
        <is>
          <t>涂抹</t>
        </is>
      </c>
      <c r="C3346" s="0" t="inlineStr">
        <is>
          <t>túmǒ</t>
        </is>
      </c>
      <c r="D3346" s="0" t="inlineStr">
        <is>
          <t>把东西涂在别的东西上面</t>
        </is>
      </c>
      <c r="E3346" s="0" t="inlineStr">
        <is>
          <t>quét, bôi (màu, mực...)</t>
        </is>
      </c>
      <c r="F3346" s="0" t="inlineStr">
        <is>
          <t>老师示范怎么在版上涂抹墨汁，再印到纸上。</t>
        </is>
      </c>
      <c r="G3346" s="0" t="inlineStr"/>
      <c r="H3346" s="0" t="inlineStr"/>
    </row>
    <row r="3347">
      <c r="A3347" s="0" t="inlineStr">
        <is>
          <t>Bài 35</t>
        </is>
      </c>
      <c r="B3347" s="0" t="inlineStr">
        <is>
          <t>终究</t>
        </is>
      </c>
      <c r="C3347" s="0" t="inlineStr">
        <is>
          <t>zhōngjiū</t>
        </is>
      </c>
      <c r="D3347" s="0" t="inlineStr">
        <is>
          <t>不管怎样，最后一定会……（书面）</t>
        </is>
      </c>
      <c r="E3347" s="0" t="inlineStr">
        <is>
          <t>rốt cuộc, cuối cùng vẫn</t>
        </is>
      </c>
      <c r="F3347" s="0" t="inlineStr">
        <is>
          <t>背单词再难，只要坚持下去，终究会看到进步的。</t>
        </is>
      </c>
      <c r="G3347" s="0" t="inlineStr"/>
      <c r="H3347" s="0" t="inlineStr"/>
    </row>
    <row r="3348">
      <c r="A3348" s="0" t="inlineStr">
        <is>
          <t>Bài 35</t>
        </is>
      </c>
      <c r="B3348" s="0" t="inlineStr">
        <is>
          <t>烟花爆竹</t>
        </is>
      </c>
      <c r="C3348" s="0" t="inlineStr">
        <is>
          <t>yānhuā bàozhú</t>
        </is>
      </c>
      <c r="D3348" s="0" t="inlineStr">
        <is>
          <t>过年放的烟火和鞭炮</t>
        </is>
      </c>
      <c r="E3348" s="0" t="inlineStr">
        <is>
          <t>pháo hoa và pháo nổ</t>
        </is>
      </c>
      <c r="F3348" s="0" t="inlineStr">
        <is>
          <t>过年那几天，小区外面的烟花爆竹声响个不停。</t>
        </is>
      </c>
      <c r="G3348" s="0" t="inlineStr"/>
      <c r="H3348" s="0" t="inlineStr"/>
    </row>
    <row r="3349">
      <c r="A3349" s="0" t="inlineStr">
        <is>
          <t>Bài 35</t>
        </is>
      </c>
      <c r="B3349" s="0" t="inlineStr">
        <is>
          <t>寄托</t>
        </is>
      </c>
      <c r="C3349" s="0" t="inlineStr">
        <is>
          <t>jìtuō</t>
        </is>
      </c>
      <c r="D3349" s="0" t="inlineStr">
        <is>
          <t>把希望、感情放在某人或某事上</t>
        </is>
      </c>
      <c r="E3349" s="0" t="inlineStr">
        <is>
          <t>gửi gắm (hy vọng, tình cảm)</t>
        </is>
      </c>
      <c r="F3349" s="0" t="inlineStr">
        <is>
          <t>妈妈把很大的期望寄托在我考过HSK6这件事上。</t>
        </is>
      </c>
      <c r="G3349" s="0" t="inlineStr"/>
      <c r="H3349" s="0" t="inlineStr"/>
    </row>
    <row r="3350">
      <c r="A3350" s="0" t="inlineStr">
        <is>
          <t>Bài 35</t>
        </is>
      </c>
      <c r="B3350" s="0" t="inlineStr">
        <is>
          <t>增添</t>
        </is>
      </c>
      <c r="C3350" s="0" t="inlineStr">
        <is>
          <t>zēngtiān</t>
        </is>
      </c>
      <c r="D3350" s="0" t="inlineStr">
        <is>
          <t>使更多，增加一些</t>
        </is>
      </c>
      <c r="E3350" s="0" t="inlineStr">
        <is>
          <t>thêm vào, tăng thêm</t>
        </is>
      </c>
      <c r="F3350" s="0" t="inlineStr">
        <is>
          <t>学了几个成语以后，我的作文一下子增添了不少文采。</t>
        </is>
      </c>
      <c r="G3350" s="0" t="inlineStr"/>
      <c r="H3350" s="0" t="inlineStr"/>
    </row>
    <row r="3351">
      <c r="A3351" s="0" t="inlineStr">
        <is>
          <t>Bài 35</t>
        </is>
      </c>
      <c r="B3351" s="0" t="inlineStr">
        <is>
          <t>丰收</t>
        </is>
      </c>
      <c r="C3351" s="0" t="inlineStr">
        <is>
          <t>fēngshōu</t>
        </is>
      </c>
      <c r="D3351" s="0" t="inlineStr">
        <is>
          <t>收获的东西很多，成果很好</t>
        </is>
      </c>
      <c r="E3351" s="0" t="inlineStr">
        <is>
          <t>được mùa, thu hoạch tốt</t>
        </is>
      </c>
      <c r="F3351" s="0" t="inlineStr">
        <is>
          <t>这学期我背了上千个生词，也算是一次学习上的丰收。</t>
        </is>
      </c>
      <c r="G3351" s="0" t="inlineStr"/>
      <c r="H3351" s="0" t="inlineStr"/>
    </row>
    <row r="3352">
      <c r="A3352" s="0" t="inlineStr">
        <is>
          <t>Bài 35</t>
        </is>
      </c>
      <c r="B3352" s="0" t="inlineStr">
        <is>
          <t>发财</t>
        </is>
      </c>
      <c r="C3352" s="0" t="inlineStr">
        <is>
          <t>fācái</t>
        </is>
      </c>
      <c r="D3352" s="0" t="inlineStr">
        <is>
          <t>得到很多钱，变得富有</t>
        </is>
      </c>
      <c r="E3352" s="0" t="inlineStr">
        <is>
          <t>phát tài</t>
        </is>
      </c>
      <c r="F3352" s="0" t="inlineStr">
        <is>
          <t>中国朋友教我过年要说“恭喜发财”，这样才吉利。</t>
        </is>
      </c>
      <c r="G3352" s="0" t="inlineStr"/>
      <c r="H3352" s="0" t="inlineStr"/>
    </row>
    <row r="3353">
      <c r="A3353" s="0" t="inlineStr">
        <is>
          <t>Bài 35</t>
        </is>
      </c>
      <c r="B3353" s="0" t="inlineStr">
        <is>
          <t>连年</t>
        </is>
      </c>
      <c r="C3353" s="0" t="inlineStr">
        <is>
          <t>liánnián</t>
        </is>
      </c>
      <c r="D3353" s="0" t="inlineStr">
        <is>
          <t>一年接一年（多年连续）</t>
        </is>
      </c>
      <c r="E3353" s="0" t="inlineStr">
        <is>
          <t>liên tiếp nhiều năm</t>
        </is>
      </c>
      <c r="F3353" s="0" t="inlineStr">
        <is>
          <t>这家书店连年举办年画展，我每年都去看。</t>
        </is>
      </c>
      <c r="G3353" s="0" t="inlineStr"/>
      <c r="H3353" s="0" t="inlineStr"/>
    </row>
    <row r="3354">
      <c r="A3354" s="0" t="inlineStr">
        <is>
          <t>Bài 35</t>
        </is>
      </c>
      <c r="B3354" s="0" t="inlineStr">
        <is>
          <t>寓言</t>
        </is>
      </c>
      <c r="C3354" s="0" t="inlineStr">
        <is>
          <t>yùyán</t>
        </is>
      </c>
      <c r="D3354" s="0" t="inlineStr">
        <is>
          <t>带有教育意义的假想故事</t>
        </is>
      </c>
      <c r="E3354" s="0" t="inlineStr">
        <is>
          <t>truyện ngụ ngôn</t>
        </is>
      </c>
      <c r="F3354" s="0" t="inlineStr">
        <is>
          <t>小时候老师用寓言故事教我们做人的道理，现在我教学生也常用这个方法。</t>
        </is>
      </c>
      <c r="G3354" s="0" t="inlineStr"/>
      <c r="H3354" s="0" t="inlineStr"/>
    </row>
    <row r="3355">
      <c r="A3355" s="0" t="inlineStr">
        <is>
          <t>Bài 35</t>
        </is>
      </c>
      <c r="B3355" s="0" t="inlineStr">
        <is>
          <t>信仰</t>
        </is>
      </c>
      <c r="C3355" s="0" t="inlineStr">
        <is>
          <t>xìnyǎng</t>
        </is>
      </c>
      <c r="D3355" s="0" t="inlineStr">
        <is>
          <t>对某种思想或宗教坚定的相信</t>
        </is>
      </c>
      <c r="E3355" s="0" t="inlineStr">
        <is>
          <t>tín ngưỡng, niềm tin</t>
        </is>
      </c>
      <c r="F3355" s="0" t="inlineStr">
        <is>
          <t>年画里常有跟民间信仰有关的内容，比如财神、门神。</t>
        </is>
      </c>
      <c r="G3355" s="0" t="inlineStr"/>
      <c r="H3355" s="0" t="inlineStr"/>
    </row>
    <row r="3356">
      <c r="A3356" s="0" t="inlineStr">
        <is>
          <t>Bài 35</t>
        </is>
      </c>
      <c r="B3356" s="0" t="inlineStr">
        <is>
          <t>神气</t>
        </is>
      </c>
      <c r="C3356" s="0" t="inlineStr">
        <is>
          <t>shénqì</t>
        </is>
      </c>
      <c r="D3356" s="0" t="inlineStr">
        <is>
          <t>得意、有精神的样子</t>
        </is>
      </c>
      <c r="E3356" s="0" t="inlineStr">
        <is>
          <t>vẻ đắc ý, oai vệ</t>
        </is>
      </c>
      <c r="F3356" s="0" t="inlineStr">
        <is>
          <t>学生考了满分，一脸神气地跑来告诉我。</t>
        </is>
      </c>
      <c r="G3356" s="0" t="inlineStr"/>
      <c r="H3356" s="0" t="inlineStr"/>
    </row>
    <row r="3357">
      <c r="A3357" s="0" t="inlineStr">
        <is>
          <t>Bài 35</t>
        </is>
      </c>
      <c r="B3357" s="0" t="inlineStr">
        <is>
          <t>翘</t>
        </is>
      </c>
      <c r="C3357" s="0" t="inlineStr">
        <is>
          <t>qiào</t>
        </is>
      </c>
      <c r="D3357" s="0" t="inlineStr">
        <is>
          <t>一头向上仰起</t>
        </is>
      </c>
      <c r="E3357" s="0" t="inlineStr">
        <is>
          <t>vểnh lên, nhổng lên</t>
        </is>
      </c>
      <c r="F3357" s="0" t="inlineStr">
        <is>
          <t>年画上的布老虎尾巴翘得高高的，看起来很有精神。</t>
        </is>
      </c>
      <c r="G3357" s="0" t="inlineStr"/>
      <c r="H3357" s="0" t="inlineStr"/>
    </row>
    <row r="3358">
      <c r="A3358" s="0" t="inlineStr">
        <is>
          <t>Bài 35</t>
        </is>
      </c>
      <c r="B3358" s="0" t="inlineStr">
        <is>
          <t>神态</t>
        </is>
      </c>
      <c r="C3358" s="0" t="inlineStr">
        <is>
          <t>shéntài</t>
        </is>
      </c>
      <c r="D3358" s="0" t="inlineStr">
        <is>
          <t>脸上表现出来的样子和心情</t>
        </is>
      </c>
      <c r="E3358" s="0" t="inlineStr">
        <is>
          <t>thần thái, vẻ mặt</t>
        </is>
      </c>
      <c r="F3358" s="0" t="inlineStr">
        <is>
          <t>画家笔下的老虎神态特别逼真，好像真的会动一样。</t>
        </is>
      </c>
      <c r="G3358" s="0" t="inlineStr"/>
      <c r="H3358" s="0" t="inlineStr"/>
    </row>
    <row r="3359">
      <c r="A3359" s="0" t="inlineStr">
        <is>
          <t>Bài 35</t>
        </is>
      </c>
      <c r="B3359" s="0" t="inlineStr">
        <is>
          <t>盛开</t>
        </is>
      </c>
      <c r="C3359" s="0" t="inlineStr">
        <is>
          <t>shèngkāi</t>
        </is>
      </c>
      <c r="D3359" s="0" t="inlineStr">
        <is>
          <t>花开得很茂盛</t>
        </is>
      </c>
      <c r="E3359" s="0" t="inlineStr">
        <is>
          <t>nở rộ</t>
        </is>
      </c>
      <c r="F3359" s="0" t="inlineStr">
        <is>
          <t>年画里常画着盛开的花朵，象征着好日子。</t>
        </is>
      </c>
      <c r="G3359" s="0" t="inlineStr"/>
      <c r="H3359" s="0" t="inlineStr"/>
    </row>
    <row r="3360">
      <c r="A3360" s="0" t="inlineStr">
        <is>
          <t>Bài 35</t>
        </is>
      </c>
      <c r="B3360" s="0" t="inlineStr">
        <is>
          <t>散发</t>
        </is>
      </c>
      <c r="C3360" s="0" t="inlineStr">
        <is>
          <t>sànfā</t>
        </is>
      </c>
      <c r="D3360" s="0" t="inlineStr">
        <is>
          <t>（气味、光等）向外发出</t>
        </is>
      </c>
      <c r="E3360" s="0" t="inlineStr">
        <is>
          <t>tỏa ra, phát ra (mùi, ánh sáng...)</t>
        </is>
      </c>
      <c r="F3360" s="0" t="inlineStr">
        <is>
          <t>刚印好的年画还散发着淡淡的墨香。</t>
        </is>
      </c>
      <c r="G3360" s="0" t="inlineStr"/>
      <c r="H3360" s="0" t="inlineStr"/>
    </row>
    <row r="3361">
      <c r="A3361" s="0" t="inlineStr">
        <is>
          <t>Bài 35</t>
        </is>
      </c>
      <c r="B3361" s="0" t="inlineStr">
        <is>
          <t>喜闻乐见</t>
        </is>
      </c>
      <c r="C3361" s="0" t="inlineStr">
        <is>
          <t>xǐwénlèjiàn</t>
        </is>
      </c>
      <c r="D3361" s="0" t="inlineStr">
        <is>
          <t>大家都喜欢看、喜欢听的</t>
        </is>
      </c>
      <c r="E3361" s="0" t="inlineStr">
        <is>
          <t>được mọi người ưa thích, hoan nghênh</t>
        </is>
      </c>
      <c r="F3361" s="0" t="inlineStr">
        <is>
          <t>年画是老百姓喜闻乐见的一种民间艺术。</t>
        </is>
      </c>
      <c r="G3361" s="0" t="inlineStr"/>
      <c r="H3361" s="0" t="inlineStr"/>
    </row>
    <row r="3362">
      <c r="A3362" s="0" t="inlineStr">
        <is>
          <t>Bài 35</t>
        </is>
      </c>
      <c r="B3362" s="0" t="inlineStr">
        <is>
          <t>扎实</t>
        </is>
      </c>
      <c r="C3362" s="0" t="inlineStr">
        <is>
          <t>zhāshi</t>
        </is>
      </c>
      <c r="D3362" s="0" t="inlineStr">
        <is>
          <t>基础打得很牢固、很稳</t>
        </is>
      </c>
      <c r="E3362" s="0" t="inlineStr">
        <is>
          <t>vững chắc, chắc chắn (kiến thức, nền tảng)</t>
        </is>
      </c>
      <c r="F3362" s="0" t="inlineStr">
        <is>
          <t>老师说我的语法基础挺扎实，接下来要多练写作。</t>
        </is>
      </c>
      <c r="G3362" s="0" t="inlineStr"/>
      <c r="H3362" s="0" t="inlineStr"/>
    </row>
    <row r="3363">
      <c r="A3363" s="0" t="inlineStr">
        <is>
          <t>Bài 35</t>
        </is>
      </c>
      <c r="B3363" s="0" t="inlineStr">
        <is>
          <t>塑造</t>
        </is>
      </c>
      <c r="C3363" s="0" t="inlineStr">
        <is>
          <t>sùzào</t>
        </is>
      </c>
      <c r="D3363" s="0" t="inlineStr">
        <is>
          <t>通过描写创造出人物形象</t>
        </is>
      </c>
      <c r="E3363" s="0" t="inlineStr">
        <is>
          <t>khắc họa, xây dựng (hình tượng)</t>
        </is>
      </c>
      <c r="F3363" s="0" t="inlineStr">
        <is>
          <t>这篇课文塑造了一个热爱年画艺术的手艺人形象。</t>
        </is>
      </c>
      <c r="G3363" s="0" t="inlineStr"/>
      <c r="H3363" s="0" t="inlineStr"/>
    </row>
    <row r="3364">
      <c r="A3364" s="0" t="inlineStr">
        <is>
          <t>Bài 35</t>
        </is>
      </c>
      <c r="B3364" s="0" t="inlineStr">
        <is>
          <t>手法</t>
        </is>
      </c>
      <c r="C3364" s="0" t="inlineStr">
        <is>
          <t>shǒufǎ</t>
        </is>
      </c>
      <c r="D3364" s="0" t="inlineStr">
        <is>
          <t>做事或写作、创作用的方法</t>
        </is>
      </c>
      <c r="E3364" s="0" t="inlineStr">
        <is>
          <t>thủ pháp, cách thức (sáng tác)</t>
        </is>
      </c>
      <c r="F3364" s="0" t="inlineStr">
        <is>
          <t>年画常用夸张的手法，把老虎画得又威武又可爱。</t>
        </is>
      </c>
      <c r="G3364" s="0" t="inlineStr"/>
      <c r="H3364" s="0" t="inlineStr"/>
    </row>
    <row r="3365">
      <c r="A3365" s="0" t="inlineStr">
        <is>
          <t>Bài 35</t>
        </is>
      </c>
      <c r="B3365" s="0" t="inlineStr">
        <is>
          <t>派别</t>
        </is>
      </c>
      <c r="C3365" s="0" t="inlineStr">
        <is>
          <t>pàibié</t>
        </is>
      </c>
      <c r="D3365" s="0" t="inlineStr">
        <is>
          <t>同一领域里因主张不同而分成的小组</t>
        </is>
      </c>
      <c r="E3365" s="0" t="inlineStr">
        <is>
          <t>phe phái, trường phái</t>
        </is>
      </c>
      <c r="F3365" s="0" t="inlineStr">
        <is>
          <t>中国书法有很多不同的派别，我最喜欢的是行书。</t>
        </is>
      </c>
      <c r="G3365" s="0" t="inlineStr"/>
      <c r="H3365" s="0" t="inlineStr"/>
    </row>
    <row r="3366">
      <c r="A3366" s="0" t="inlineStr">
        <is>
          <t>Bài 35</t>
        </is>
      </c>
      <c r="B3366" s="0" t="inlineStr">
        <is>
          <t>借鉴</t>
        </is>
      </c>
      <c r="C3366" s="0" t="inlineStr">
        <is>
          <t>jièjiàn</t>
        </is>
      </c>
      <c r="D3366" s="0" t="inlineStr">
        <is>
          <t>参考别人的经验用在自己身上</t>
        </is>
      </c>
      <c r="E3366" s="0" t="inlineStr">
        <is>
          <t>tham khảo, học hỏi (kinh nghiệm)</t>
        </is>
      </c>
      <c r="F3366" s="0" t="inlineStr">
        <is>
          <t>我借鉴了其他老师的教学方法，课堂气氛好了不少。</t>
        </is>
      </c>
      <c r="G3366" s="0" t="inlineStr"/>
      <c r="H3366" s="0" t="inlineStr"/>
    </row>
    <row r="3367">
      <c r="A3367" s="0" t="inlineStr">
        <is>
          <t>Bài 35</t>
        </is>
      </c>
      <c r="B3367" s="0" t="inlineStr">
        <is>
          <t>再接再厉</t>
        </is>
      </c>
      <c r="C3367" s="0" t="inlineStr">
        <is>
          <t>zàijiēzàilì</t>
        </is>
      </c>
      <c r="D3367" s="0" t="inlineStr">
        <is>
          <t>取得成绩后继续努力，不骄傲</t>
        </is>
      </c>
      <c r="E3367" s="0" t="inlineStr">
        <is>
          <t>tiếp tục cố gắng, thừa thắng xông lên</t>
        </is>
      </c>
      <c r="F3367" s="0" t="inlineStr">
        <is>
          <t>这次模拟考进步了不少，老师让我再接再厉，继续加油。</t>
        </is>
      </c>
      <c r="G3367" s="0" t="inlineStr"/>
      <c r="H3367" s="0" t="inlineStr"/>
    </row>
    <row r="3368">
      <c r="A3368" s="0" t="inlineStr">
        <is>
          <t>Bài 35</t>
        </is>
      </c>
      <c r="B3368" s="0" t="inlineStr">
        <is>
          <t>心得</t>
        </is>
      </c>
      <c r="C3368" s="0" t="inlineStr">
        <is>
          <t>xīndé</t>
        </is>
      </c>
      <c r="D3368" s="0" t="inlineStr">
        <is>
          <t>学习或工作后自己体会到的东西</t>
        </is>
      </c>
      <c r="E3368" s="0" t="inlineStr">
        <is>
          <t>kinh nghiệm, tâm đắc</t>
        </is>
      </c>
      <c r="F3368" s="0" t="inlineStr">
        <is>
          <t>每次备考HSK6，我都会写一点学习心得，方便以后复习。</t>
        </is>
      </c>
      <c r="G3368" s="0" t="inlineStr"/>
      <c r="H3368" s="0" t="inlineStr"/>
    </row>
    <row r="3369">
      <c r="A3369" s="0" t="inlineStr">
        <is>
          <t>Bài 35</t>
        </is>
      </c>
      <c r="B3369" s="0" t="inlineStr">
        <is>
          <t>缺席</t>
        </is>
      </c>
      <c r="C3369" s="0" t="inlineStr">
        <is>
          <t>quēxí</t>
        </is>
      </c>
      <c r="D3369" s="0" t="inlineStr">
        <is>
          <t>应该到场却没有到</t>
        </is>
      </c>
      <c r="E3369" s="0" t="inlineStr">
        <is>
          <t>vắng mặt</t>
        </is>
      </c>
      <c r="F3369" s="0" t="inlineStr">
        <is>
          <t>那天我发烧了，只好跟中心请假，缺席了一节课。</t>
        </is>
      </c>
      <c r="G3369" s="0" t="inlineStr"/>
      <c r="H3369" s="0" t="inlineStr"/>
    </row>
    <row r="3370">
      <c r="A3370" s="0" t="inlineStr">
        <is>
          <t>Bài 35</t>
        </is>
      </c>
      <c r="B3370" s="0" t="inlineStr">
        <is>
          <t>干劲</t>
        </is>
      </c>
      <c r="C3370" s="0" t="inlineStr">
        <is>
          <t>gànjìn</t>
        </is>
      </c>
      <c r="D3370" s="0" t="inlineStr">
        <is>
          <t>做事的积极性和力气</t>
        </is>
      </c>
      <c r="E3370" s="0" t="inlineStr">
        <is>
          <t>nhiệt huyết, hăng hái làm việc</t>
        </is>
      </c>
      <c r="F3370" s="0" t="inlineStr">
        <is>
          <t>看到自己的HSK5成绩后，我学中文的干劲更足了。</t>
        </is>
      </c>
      <c r="G3370" s="0" t="inlineStr"/>
      <c r="H3370" s="0" t="inlineStr"/>
    </row>
    <row r="3371">
      <c r="A3371" s="0" t="inlineStr">
        <is>
          <t>Bài 35</t>
        </is>
      </c>
      <c r="B3371" s="0" t="inlineStr">
        <is>
          <t>占据</t>
        </is>
      </c>
      <c r="C3371" s="0" t="inlineStr">
        <is>
          <t>zhànjù</t>
        </is>
      </c>
      <c r="D3371" s="0" t="inlineStr">
        <is>
          <t>占有、拥有（位置、时间等）</t>
        </is>
      </c>
      <c r="E3371" s="0" t="inlineStr">
        <is>
          <t>chiếm giữ, chiếm lĩnh</t>
        </is>
      </c>
      <c r="F3371" s="0" t="inlineStr">
        <is>
          <t>备考期间，背单词几乎占据了我一半的学习时间。</t>
        </is>
      </c>
      <c r="G3371" s="0" t="inlineStr"/>
      <c r="H3371" s="0" t="inlineStr"/>
    </row>
    <row r="3372">
      <c r="A3372" s="0" t="inlineStr">
        <is>
          <t>Bài 35</t>
        </is>
      </c>
      <c r="B3372" s="0" t="inlineStr">
        <is>
          <t>确立</t>
        </is>
      </c>
      <c r="C3372" s="0" t="inlineStr">
        <is>
          <t>quèlì</t>
        </is>
      </c>
      <c r="D3372" s="0" t="inlineStr">
        <is>
          <t>明确地建立起来</t>
        </is>
      </c>
      <c r="E3372" s="0" t="inlineStr">
        <is>
          <t>xác lập, xác định rõ</t>
        </is>
      </c>
      <c r="F3372" s="0" t="inlineStr">
        <is>
          <t>我给自己确立了一个目标：这次一定要考到HSK6高分。</t>
        </is>
      </c>
      <c r="G3372" s="0" t="inlineStr"/>
      <c r="H3372" s="0" t="inlineStr"/>
    </row>
    <row r="3373">
      <c r="A3373" s="0" t="inlineStr">
        <is>
          <t>Bài 35</t>
        </is>
      </c>
      <c r="B3373" s="0" t="inlineStr">
        <is>
          <t>信念</t>
        </is>
      </c>
      <c r="C3373" s="0" t="inlineStr">
        <is>
          <t>xìnniàn</t>
        </is>
      </c>
      <c r="D3373" s="0" t="inlineStr">
        <is>
          <t>对某件事坚定不移的信心</t>
        </is>
      </c>
      <c r="E3373" s="0" t="inlineStr">
        <is>
          <t>niềm tin, tín niệm</t>
        </is>
      </c>
      <c r="F3373" s="0" t="inlineStr">
        <is>
          <t>“坚持就能进步”是我学中文这几年的信念。</t>
        </is>
      </c>
      <c r="G3373" s="0" t="inlineStr"/>
      <c r="H3373" s="0" t="inlineStr"/>
    </row>
    <row r="3374">
      <c r="A3374" s="0" t="inlineStr">
        <is>
          <t>Bài 35</t>
        </is>
      </c>
      <c r="B3374" s="0" t="inlineStr">
        <is>
          <t>任重道远</t>
        </is>
      </c>
      <c r="C3374" s="0" t="inlineStr">
        <is>
          <t>rènzhòngdàoyuǎn</t>
        </is>
      </c>
      <c r="D3374" s="0" t="inlineStr">
        <is>
          <t>责任重大，需要走的路还很长</t>
        </is>
      </c>
      <c r="E3374" s="0" t="inlineStr">
        <is>
          <t>nhiệm vụ nặng nề, đường còn dài</t>
        </is>
      </c>
      <c r="F3374" s="0" t="inlineStr">
        <is>
          <t>要教好HSK1的学生，又要顾好自己的HSK6备考，说实话任重道远。</t>
        </is>
      </c>
      <c r="G3374" s="0" t="inlineStr"/>
      <c r="H3374" s="0" t="inlineStr"/>
    </row>
    <row r="3375">
      <c r="A3375" s="0" t="inlineStr">
        <is>
          <t>Bài 35</t>
        </is>
      </c>
      <c r="B3375" s="0" t="inlineStr">
        <is>
          <t>一帆风顺</t>
        </is>
      </c>
      <c r="C3375" s="0" t="inlineStr">
        <is>
          <t>yīfānfēngshùn</t>
        </is>
      </c>
      <c r="D3375" s="0" t="inlineStr">
        <is>
          <t>事情进行得很顺利，没有阻碍</t>
        </is>
      </c>
      <c r="E3375" s="0" t="inlineStr">
        <is>
          <t>thuận buồm xuôi gió</t>
        </is>
      </c>
      <c r="F3375" s="0" t="inlineStr">
        <is>
          <t>祝自己这次HSK6备考一帆风顺，顺利拿到理想的分数。</t>
        </is>
      </c>
      <c r="G3375" s="0" t="inlineStr"/>
      <c r="H3375" s="0" t="inlineStr"/>
    </row>
    <row r="3376">
      <c r="A3376" s="0" t="inlineStr">
        <is>
          <t>Bài 36</t>
        </is>
      </c>
      <c r="B3376" s="0" t="inlineStr">
        <is>
          <t>官方</t>
        </is>
      </c>
      <c r="C3376" s="0" t="inlineStr">
        <is>
          <t>guānfāng</t>
        </is>
      </c>
      <c r="D3376" s="0" t="inlineStr">
        <is>
          <t>政府或权威机构方面（不是私人的）</t>
        </is>
      </c>
      <c r="E3376" s="0" t="inlineStr">
        <is>
          <t>chính thức, quan phương</t>
        </is>
      </c>
      <c r="F3376" s="0" t="inlineStr">
        <is>
          <t>关于书院历史，官方文献里的记载最权威，我常拿来当作文素材。</t>
        </is>
      </c>
      <c r="G3376" s="0" t="inlineStr"/>
      <c r="H3376" s="0" t="inlineStr"/>
    </row>
    <row r="3377">
      <c r="A3377" s="0" t="inlineStr">
        <is>
          <t>Bài 36</t>
        </is>
      </c>
      <c r="B3377" s="0" t="inlineStr">
        <is>
          <t>透露</t>
        </is>
      </c>
      <c r="C3377" s="0" t="inlineStr">
        <is>
          <t>tòulù</t>
        </is>
      </c>
      <c r="D3377" s="0" t="inlineStr">
        <is>
          <t>把消息或想法说出一部分</t>
        </is>
      </c>
      <c r="E3377" s="0" t="inlineStr">
        <is>
          <t>tiết lộ, bật mí</t>
        </is>
      </c>
      <c r="F3377" s="0" t="inlineStr">
        <is>
          <t>老师透露这次模拟考会考到成语改写，我赶紧多复习了几个。</t>
        </is>
      </c>
      <c r="G3377" s="0" t="inlineStr"/>
      <c r="H3377" s="0" t="inlineStr"/>
    </row>
    <row r="3378">
      <c r="A3378" s="0" t="inlineStr">
        <is>
          <t>Bài 36</t>
        </is>
      </c>
      <c r="B3378" s="0" t="inlineStr">
        <is>
          <t>命名</t>
        </is>
      </c>
      <c r="C3378" s="0" t="inlineStr">
        <is>
          <t>mìngmíng</t>
        </is>
      </c>
      <c r="D3378" s="0" t="inlineStr">
        <is>
          <t>给人或事物起名字</t>
        </is>
      </c>
      <c r="E3378" s="0" t="inlineStr">
        <is>
          <t>đặt tên, mệnh danh</t>
        </is>
      </c>
      <c r="F3378" s="0" t="inlineStr">
        <is>
          <t>这家书店以一位古代书院命名，很有文化气息。</t>
        </is>
      </c>
      <c r="G3378" s="0" t="inlineStr"/>
      <c r="H3378" s="0" t="inlineStr"/>
    </row>
    <row r="3379">
      <c r="A3379" s="0" t="inlineStr">
        <is>
          <t>Bài 36</t>
        </is>
      </c>
      <c r="B3379" s="0" t="inlineStr">
        <is>
          <t>规章</t>
        </is>
      </c>
      <c r="C3379" s="0" t="inlineStr">
        <is>
          <t>guīzhāng</t>
        </is>
      </c>
      <c r="D3379" s="0" t="inlineStr">
        <is>
          <t>规定的章程、制度</t>
        </is>
      </c>
      <c r="E3379" s="0" t="inlineStr">
        <is>
          <t>quy chương, quy định</t>
        </is>
      </c>
      <c r="F3379" s="0" t="inlineStr">
        <is>
          <t>培训中心的规章要求学生请假必须提前一天通知。</t>
        </is>
      </c>
      <c r="G3379" s="0" t="inlineStr"/>
      <c r="H3379" s="0" t="inlineStr"/>
    </row>
    <row r="3380">
      <c r="A3380" s="0" t="inlineStr">
        <is>
          <t>Bài 36</t>
        </is>
      </c>
      <c r="B3380" s="0" t="inlineStr">
        <is>
          <t>截止</t>
        </is>
      </c>
      <c r="C3380" s="0" t="inlineStr">
        <is>
          <t>jiézhǐ</t>
        </is>
      </c>
      <c r="D3380" s="0" t="inlineStr">
        <is>
          <t>到一定时间就停止（多用于时间）</t>
        </is>
      </c>
      <c r="E3380" s="0" t="inlineStr">
        <is>
          <t>hết hạn, kết thúc (đến hạn)</t>
        </is>
      </c>
      <c r="F3380" s="0" t="inlineStr">
        <is>
          <t>HSK6报名截止那天，我差点忘了交材料。</t>
        </is>
      </c>
      <c r="G3380" s="0" t="inlineStr"/>
      <c r="H3380" s="0" t="inlineStr"/>
    </row>
    <row r="3381">
      <c r="A3381" s="0" t="inlineStr">
        <is>
          <t>Bài 36</t>
        </is>
      </c>
      <c r="B3381" s="0" t="inlineStr">
        <is>
          <t>终止</t>
        </is>
      </c>
      <c r="C3381" s="0" t="inlineStr">
        <is>
          <t>zhōngzhǐ</t>
        </is>
      </c>
      <c r="D3381" s="0" t="inlineStr">
        <is>
          <t>停止，结束（不限于时间）</t>
        </is>
      </c>
      <c r="E3381" s="0" t="inlineStr">
        <is>
          <t>chấm dứt, kết thúc</t>
        </is>
      </c>
      <c r="F3381" s="0" t="inlineStr">
        <is>
          <t>因为搬家，我不得不终止了跟那家培训中心的合作。</t>
        </is>
      </c>
      <c r="G3381" s="0" t="inlineStr"/>
      <c r="H3381" s="0" t="inlineStr"/>
    </row>
    <row r="3382">
      <c r="A3382" s="0" t="inlineStr">
        <is>
          <t>Bài 36</t>
        </is>
      </c>
      <c r="B3382" s="0" t="inlineStr">
        <is>
          <t>完备</t>
        </is>
      </c>
      <c r="C3382" s="0" t="inlineStr">
        <is>
          <t>wánbèi</t>
        </is>
      </c>
      <c r="D3382" s="0" t="inlineStr">
        <is>
          <t>各方面都准备齐全，没有欠缺</t>
        </is>
      </c>
      <c r="E3382" s="0" t="inlineStr">
        <is>
          <t>hoàn bị, đầy đủ</t>
        </is>
      </c>
      <c r="F3382" s="0" t="inlineStr">
        <is>
          <t>备考HSK6前，我先做了一份完备的复习计划。</t>
        </is>
      </c>
      <c r="G3382" s="0" t="inlineStr"/>
      <c r="H3382" s="0" t="inlineStr"/>
    </row>
    <row r="3383">
      <c r="A3383" s="0" t="inlineStr">
        <is>
          <t>Bài 36</t>
        </is>
      </c>
      <c r="B3383" s="0" t="inlineStr">
        <is>
          <t>立足</t>
        </is>
      </c>
      <c r="C3383" s="0" t="inlineStr">
        <is>
          <t>lìzú</t>
        </is>
      </c>
      <c r="D3383" s="0" t="inlineStr">
        <is>
          <t>在某个地方站稳、依靠着生存</t>
        </is>
      </c>
      <c r="E3383" s="0" t="inlineStr">
        <is>
          <t>đứng vững, lập chân</t>
        </is>
      </c>
      <c r="F3383" s="0" t="inlineStr">
        <is>
          <t>在中国工作，光会说日常用语还不够，得靠专业中文才能立足。</t>
        </is>
      </c>
      <c r="G3383" s="0" t="inlineStr"/>
      <c r="H3383" s="0" t="inlineStr"/>
    </row>
    <row r="3384">
      <c r="A3384" s="0" t="inlineStr">
        <is>
          <t>Bài 36</t>
        </is>
      </c>
      <c r="B3384" s="0" t="inlineStr">
        <is>
          <t>灵魂</t>
        </is>
      </c>
      <c r="C3384" s="0" t="inlineStr">
        <is>
          <t>línghún</t>
        </is>
      </c>
      <c r="D3384" s="0" t="inlineStr">
        <is>
          <t>人的精神、思想部分</t>
        </is>
      </c>
      <c r="E3384" s="0" t="inlineStr">
        <is>
          <t>linh hồn, tâm hồn</t>
        </is>
      </c>
      <c r="F3384" s="0" t="inlineStr">
        <is>
          <t>老师常说，语法是句子的灵魂，用错了整句话就变味。</t>
        </is>
      </c>
      <c r="G3384" s="0" t="inlineStr"/>
      <c r="H3384" s="0" t="inlineStr"/>
    </row>
    <row r="3385">
      <c r="A3385" s="0" t="inlineStr">
        <is>
          <t>Bài 36</t>
        </is>
      </c>
      <c r="B3385" s="0" t="inlineStr">
        <is>
          <t>颁布</t>
        </is>
      </c>
      <c r="C3385" s="0" t="inlineStr">
        <is>
          <t>bānbù</t>
        </is>
      </c>
      <c r="D3385" s="0" t="inlineStr">
        <is>
          <t>正式公布（法令、规定等）</t>
        </is>
      </c>
      <c r="E3385" s="0" t="inlineStr">
        <is>
          <t>ban hành, công bố</t>
        </is>
      </c>
      <c r="F3385" s="0" t="inlineStr">
        <is>
          <t>学校颁布了新的请假规定，我得重新看一遍。</t>
        </is>
      </c>
      <c r="G3385" s="0" t="inlineStr"/>
      <c r="H3385" s="0" t="inlineStr"/>
    </row>
    <row r="3386">
      <c r="A3386" s="0" t="inlineStr">
        <is>
          <t>Bài 36</t>
        </is>
      </c>
      <c r="B3386" s="0" t="inlineStr">
        <is>
          <t>品德</t>
        </is>
      </c>
      <c r="C3386" s="0" t="inlineStr">
        <is>
          <t>pǐndé</t>
        </is>
      </c>
      <c r="D3386" s="0" t="inlineStr">
        <is>
          <t>一个人的道德品质</t>
        </is>
      </c>
      <c r="E3386" s="0" t="inlineStr">
        <is>
          <t>phẩm đức, đạo đức</t>
        </is>
      </c>
      <c r="F3386" s="0" t="inlineStr">
        <is>
          <t>我很佩服那位老师的品德，对每个学生都一视同仁。</t>
        </is>
      </c>
      <c r="G3386" s="0" t="inlineStr"/>
      <c r="H3386" s="0" t="inlineStr"/>
    </row>
    <row r="3387">
      <c r="A3387" s="0" t="inlineStr">
        <is>
          <t>Bài 36</t>
        </is>
      </c>
      <c r="B3387" s="0" t="inlineStr">
        <is>
          <t>过失</t>
        </is>
      </c>
      <c r="C3387" s="0" t="inlineStr">
        <is>
          <t>guòshī</t>
        </is>
      </c>
      <c r="D3387" s="0" t="inlineStr">
        <is>
          <t>做错的事，失误</t>
        </is>
      </c>
      <c r="E3387" s="0" t="inlineStr">
        <is>
          <t>sai sót, lỗi lầm</t>
        </is>
      </c>
      <c r="F3387" s="0" t="inlineStr">
        <is>
          <t>批改作业时，我会先指出学生的过失，再鼓励他们改正。</t>
        </is>
      </c>
      <c r="G3387" s="0" t="inlineStr"/>
      <c r="H3387" s="0" t="inlineStr"/>
    </row>
    <row r="3388">
      <c r="A3388" s="0" t="inlineStr">
        <is>
          <t>Bài 36</t>
        </is>
      </c>
      <c r="B3388" s="0" t="inlineStr">
        <is>
          <t>无耻</t>
        </is>
      </c>
      <c r="C3388" s="0" t="inlineStr">
        <is>
          <t>wúchǐ</t>
        </is>
      </c>
      <c r="D3388" s="0" t="inlineStr">
        <is>
          <t>一点也不知道羞耻</t>
        </is>
      </c>
      <c r="E3388" s="0" t="inlineStr">
        <is>
          <t>vô liêm sỉ, trơ trẽn</t>
        </is>
      </c>
      <c r="F3388" s="0" t="inlineStr">
        <is>
          <t>抄袭别人的作文还理直气壮，这种行为太无耻了。</t>
        </is>
      </c>
      <c r="G3388" s="0" t="inlineStr"/>
      <c r="H3388" s="0" t="inlineStr"/>
    </row>
    <row r="3389">
      <c r="A3389" s="0" t="inlineStr">
        <is>
          <t>Bài 36</t>
        </is>
      </c>
      <c r="B3389" s="0" t="inlineStr">
        <is>
          <t>容纳</t>
        </is>
      </c>
      <c r="C3389" s="0" t="inlineStr">
        <is>
          <t>róngnà</t>
        </is>
      </c>
      <c r="D3389" s="0" t="inlineStr">
        <is>
          <t>在空间上装得下，能接受</t>
        </is>
      </c>
      <c r="E3389" s="0" t="inlineStr">
        <is>
          <t>chứa đựng, dung nạp</t>
        </is>
      </c>
      <c r="F3389" s="0" t="inlineStr">
        <is>
          <t>这间教室最多能容纳二十个学生。</t>
        </is>
      </c>
      <c r="G3389" s="0" t="inlineStr"/>
      <c r="H3389" s="0" t="inlineStr"/>
    </row>
    <row r="3390">
      <c r="A3390" s="0" t="inlineStr">
        <is>
          <t>Bài 36</t>
        </is>
      </c>
      <c r="B3390" s="0" t="inlineStr">
        <is>
          <t>层出不穷</t>
        </is>
      </c>
      <c r="C3390" s="0" t="inlineStr">
        <is>
          <t>céngchūbùqióng</t>
        </is>
      </c>
      <c r="D3390" s="0" t="inlineStr">
        <is>
          <t>一个接一个不断出现，很多</t>
        </is>
      </c>
      <c r="E3390" s="0" t="inlineStr">
        <is>
          <t>xuất hiện liên tục không ngớt</t>
        </is>
      </c>
      <c r="F3390" s="0" t="inlineStr">
        <is>
          <t>备考期间，各种模拟题层出不穷，我都做不完。</t>
        </is>
      </c>
      <c r="G3390" s="0" t="inlineStr"/>
      <c r="H3390" s="0" t="inlineStr"/>
    </row>
    <row r="3391">
      <c r="A3391" s="0" t="inlineStr">
        <is>
          <t>Bài 36</t>
        </is>
      </c>
      <c r="B3391" s="0" t="inlineStr">
        <is>
          <t>治理</t>
        </is>
      </c>
      <c r="C3391" s="0" t="inlineStr">
        <is>
          <t>zhìlǐ</t>
        </is>
      </c>
      <c r="D3391" s="0" t="inlineStr">
        <is>
          <t>管理、整顿使变好</t>
        </is>
      </c>
      <c r="E3391" s="0" t="inlineStr">
        <is>
          <t>quản lý, chỉnh trị</t>
        </is>
      </c>
      <c r="F3391" s="0" t="inlineStr">
        <is>
          <t>老师把班级纪律治理得很好，上课再也没人迟到了。</t>
        </is>
      </c>
      <c r="G3391" s="0" t="inlineStr"/>
      <c r="H3391" s="0" t="inlineStr"/>
    </row>
    <row r="3392">
      <c r="A3392" s="0" t="inlineStr">
        <is>
          <t>Bài 36</t>
        </is>
      </c>
      <c r="B3392" s="0" t="inlineStr">
        <is>
          <t>树立</t>
        </is>
      </c>
      <c r="C3392" s="0" t="inlineStr">
        <is>
          <t>shùlì</t>
        </is>
      </c>
      <c r="D3392" s="0" t="inlineStr">
        <is>
          <t>建立起（好的形象、榜样等）</t>
        </is>
      </c>
      <c r="E3392" s="0" t="inlineStr">
        <is>
          <t>xây dựng, thiết lập (hình tượng, tấm gương)</t>
        </is>
      </c>
      <c r="F3392" s="0" t="inlineStr">
        <is>
          <t>我想在学生面前树立一个认真负责的老师形象。</t>
        </is>
      </c>
      <c r="G3392" s="0" t="inlineStr"/>
      <c r="H3392" s="0" t="inlineStr"/>
    </row>
    <row r="3393">
      <c r="A3393" s="0" t="inlineStr">
        <is>
          <t>Bài 36</t>
        </is>
      </c>
      <c r="B3393" s="0" t="inlineStr">
        <is>
          <t>正气</t>
        </is>
      </c>
      <c r="C3393" s="0" t="inlineStr">
        <is>
          <t>zhèngqì</t>
        </is>
      </c>
      <c r="D3393" s="0" t="inlineStr">
        <is>
          <t>正直、光明的作风精神</t>
        </is>
      </c>
      <c r="E3393" s="0" t="inlineStr">
        <is>
          <t>chính khí, tinh thần ngay thẳng</t>
        </is>
      </c>
      <c r="F3393" s="0" t="inlineStr">
        <is>
          <t>这位老师一身正气，从不徇私。</t>
        </is>
      </c>
      <c r="G3393" s="0" t="inlineStr"/>
      <c r="H3393" s="0" t="inlineStr"/>
    </row>
    <row r="3394">
      <c r="A3394" s="0" t="inlineStr">
        <is>
          <t>Bài 36</t>
        </is>
      </c>
      <c r="B3394" s="0" t="inlineStr">
        <is>
          <t>唾弃</t>
        </is>
      </c>
      <c r="C3394" s="0" t="inlineStr">
        <is>
          <t>tuòqì</t>
        </is>
      </c>
      <c r="D3394" s="0" t="inlineStr">
        <is>
          <t>十分看不起，抛弃不理</t>
        </is>
      </c>
      <c r="E3394" s="0" t="inlineStr">
        <is>
          <t>khinh bỉ, ruồng bỏ</t>
        </is>
      </c>
      <c r="F3394" s="0" t="inlineStr">
        <is>
          <t>考试作弊这种行为，一直被大家所唾弃。</t>
        </is>
      </c>
      <c r="G3394" s="0" t="inlineStr"/>
      <c r="H3394" s="0" t="inlineStr"/>
    </row>
    <row r="3395">
      <c r="A3395" s="0" t="inlineStr">
        <is>
          <t>Bài 36</t>
        </is>
      </c>
      <c r="B3395" s="0" t="inlineStr">
        <is>
          <t>卑鄙</t>
        </is>
      </c>
      <c r="C3395" s="0" t="inlineStr">
        <is>
          <t>bēibǐ</t>
        </is>
      </c>
      <c r="D3395" s="0" t="inlineStr">
        <is>
          <t>人品低下，手段不光明</t>
        </is>
      </c>
      <c r="E3395" s="0" t="inlineStr">
        <is>
          <t>đê tiện, hèn hạ</t>
        </is>
      </c>
      <c r="F3395" s="0" t="inlineStr">
        <is>
          <t>为了成绩去打小报告，我觉得这种做法挺卑鄙的。</t>
        </is>
      </c>
      <c r="G3395" s="0" t="inlineStr"/>
      <c r="H3395" s="0" t="inlineStr"/>
    </row>
    <row r="3396">
      <c r="A3396" s="0" t="inlineStr">
        <is>
          <t>Bài 36</t>
        </is>
      </c>
      <c r="B3396" s="0" t="inlineStr">
        <is>
          <t>堕落</t>
        </is>
      </c>
      <c r="C3396" s="0" t="inlineStr">
        <is>
          <t>duòluò</t>
        </is>
      </c>
      <c r="D3396" s="0" t="inlineStr">
        <is>
          <t>思想、行为渐渐变坏</t>
        </is>
      </c>
      <c r="E3396" s="0" t="inlineStr">
        <is>
          <t>sa đọa, sa ngã</t>
        </is>
      </c>
      <c r="F3396" s="0" t="inlineStr">
        <is>
          <t>他一放假就整天打游戏，我提醒他别就这样堕落下去。</t>
        </is>
      </c>
      <c r="G3396" s="0" t="inlineStr"/>
      <c r="H3396" s="0" t="inlineStr"/>
    </row>
    <row r="3397">
      <c r="A3397" s="0" t="inlineStr">
        <is>
          <t>Bài 36</t>
        </is>
      </c>
      <c r="B3397" s="0" t="inlineStr">
        <is>
          <t>腐败</t>
        </is>
      </c>
      <c r="C3397" s="0" t="inlineStr">
        <is>
          <t>fǔbài</t>
        </is>
      </c>
      <c r="D3397" s="0" t="inlineStr">
        <is>
          <t>（制度、作风）腐化、不清廉</t>
        </is>
      </c>
      <c r="E3397" s="0" t="inlineStr">
        <is>
          <t>tham nhũng, thối nát</t>
        </is>
      </c>
      <c r="F3397" s="0" t="inlineStr">
        <is>
          <t>课文里讲的官场腐败问题，跟现代新闻里的话题很像。</t>
        </is>
      </c>
      <c r="G3397" s="0" t="inlineStr"/>
      <c r="H3397" s="0" t="inlineStr"/>
    </row>
    <row r="3398">
      <c r="A3398" s="0" t="inlineStr">
        <is>
          <t>Bài 36</t>
        </is>
      </c>
      <c r="B3398" s="0" t="inlineStr">
        <is>
          <t>崇高</t>
        </is>
      </c>
      <c r="C3398" s="0" t="inlineStr">
        <is>
          <t>chónggāo</t>
        </is>
      </c>
      <c r="D3398" s="0" t="inlineStr">
        <is>
          <t>十分高尚、值得尊敬</t>
        </is>
      </c>
      <c r="E3398" s="0" t="inlineStr">
        <is>
          <t>cao cả, cao thượng</t>
        </is>
      </c>
      <c r="F3398" s="0" t="inlineStr">
        <is>
          <t>老师甘愿留在山区教书，这种精神很崇高。</t>
        </is>
      </c>
      <c r="G3398" s="0" t="inlineStr"/>
      <c r="H3398" s="0" t="inlineStr"/>
    </row>
    <row r="3399">
      <c r="A3399" s="0" t="inlineStr">
        <is>
          <t>Bài 36</t>
        </is>
      </c>
      <c r="B3399" s="0" t="inlineStr">
        <is>
          <t>境界</t>
        </is>
      </c>
      <c r="C3399" s="0" t="inlineStr">
        <is>
          <t>jìngjiè</t>
        </is>
      </c>
      <c r="D3399" s="0" t="inlineStr">
        <is>
          <t>事物达到的程度或水平</t>
        </is>
      </c>
      <c r="E3399" s="0" t="inlineStr">
        <is>
          <t>cảnh giới, mức độ</t>
        </is>
      </c>
      <c r="F3399" s="0" t="inlineStr">
        <is>
          <t>学中文学到能用成语聊天，我觉得自己进入了一个新境界。</t>
        </is>
      </c>
      <c r="G3399" s="0" t="inlineStr"/>
      <c r="H3399" s="0" t="inlineStr"/>
    </row>
    <row r="3400">
      <c r="A3400" s="0" t="inlineStr">
        <is>
          <t>Bài 36</t>
        </is>
      </c>
      <c r="B3400" s="0" t="inlineStr">
        <is>
          <t>攀登</t>
        </is>
      </c>
      <c r="C3400" s="0" t="inlineStr">
        <is>
          <t>pāndēng</t>
        </is>
      </c>
      <c r="D3400" s="0" t="inlineStr">
        <is>
          <t>向上爬，努力达到更高目标</t>
        </is>
      </c>
      <c r="E3400" s="0" t="inlineStr">
        <is>
          <t>leo lên, trèo lên (nghĩa bóng: phấn đấu)</t>
        </is>
      </c>
      <c r="F3400" s="0" t="inlineStr">
        <is>
          <t>备考HSK6就像攀登一座高峰，一步一步来。</t>
        </is>
      </c>
      <c r="G3400" s="0" t="inlineStr"/>
      <c r="H3400" s="0" t="inlineStr"/>
    </row>
    <row r="3401">
      <c r="A3401" s="0" t="inlineStr">
        <is>
          <t>Bài 36</t>
        </is>
      </c>
      <c r="B3401" s="0" t="inlineStr">
        <is>
          <t>窍门</t>
        </is>
      </c>
      <c r="C3401" s="0" t="inlineStr">
        <is>
          <t>qiàomén</t>
        </is>
      </c>
      <c r="D3401" s="0" t="inlineStr">
        <is>
          <t>解决问题的巧妙方法</t>
        </is>
      </c>
      <c r="E3401" s="0" t="inlineStr">
        <is>
          <t>bí quyết, mẹo</t>
        </is>
      </c>
      <c r="F3401" s="0" t="inlineStr">
        <is>
          <t>老师教了我一个记成语的窍门，比死记硬背有效多了。</t>
        </is>
      </c>
      <c r="G3401" s="0" t="inlineStr"/>
      <c r="H3401" s="0" t="inlineStr"/>
    </row>
    <row r="3402">
      <c r="A3402" s="0" t="inlineStr">
        <is>
          <t>Bài 36</t>
        </is>
      </c>
      <c r="B3402" s="0" t="inlineStr">
        <is>
          <t>发扬</t>
        </is>
      </c>
      <c r="C3402" s="0" t="inlineStr">
        <is>
          <t>fāyáng</t>
        </is>
      </c>
      <c r="D3402" s="0" t="inlineStr">
        <is>
          <t>使（优良传统、精神）更加发展</t>
        </is>
      </c>
      <c r="E3402" s="0" t="inlineStr">
        <is>
          <t>phát huy</t>
        </is>
      </c>
      <c r="F3402" s="0" t="inlineStr">
        <is>
          <t>我想把老师教我的耐心，也发扬到自己教HSK1学生上。</t>
        </is>
      </c>
      <c r="G3402" s="0" t="inlineStr"/>
      <c r="H3402" s="0" t="inlineStr"/>
    </row>
    <row r="3403">
      <c r="A3403" s="0" t="inlineStr">
        <is>
          <t>Bài 36</t>
        </is>
      </c>
      <c r="B3403" s="0" t="inlineStr">
        <is>
          <t>敞开</t>
        </is>
      </c>
      <c r="C3403" s="0" t="inlineStr">
        <is>
          <t>chǎngkāi</t>
        </is>
      </c>
      <c r="D3403" s="0" t="inlineStr">
        <is>
          <t>把门、心扉等完全打开</t>
        </is>
      </c>
      <c r="E3403" s="0" t="inlineStr">
        <is>
          <t>mở rộng, mở toang (cửa, lòng)</t>
        </is>
      </c>
      <c r="F3403" s="0" t="inlineStr">
        <is>
          <t>第一次跟中国同事吃饭，我敞开心扉聊了很多自己的想法。</t>
        </is>
      </c>
      <c r="G3403" s="0" t="inlineStr"/>
      <c r="H3403" s="0" t="inlineStr"/>
    </row>
    <row r="3404">
      <c r="A3404" s="0" t="inlineStr">
        <is>
          <t>Bài 36</t>
        </is>
      </c>
      <c r="B3404" s="0" t="inlineStr">
        <is>
          <t>招收</t>
        </is>
      </c>
      <c r="C3404" s="0" t="inlineStr">
        <is>
          <t>zhāoshōu</t>
        </is>
      </c>
      <c r="D3404" s="0" t="inlineStr">
        <is>
          <t>招募、接收（学生、员工）</t>
        </is>
      </c>
      <c r="E3404" s="0" t="inlineStr">
        <is>
          <t>tuyển sinh, tuyển dụng</t>
        </is>
      </c>
      <c r="F3404" s="0" t="inlineStr">
        <is>
          <t>这个学期中心招收了不少零基础的HSK1学生，我要多备点课。</t>
        </is>
      </c>
      <c r="G3404" s="0" t="inlineStr"/>
      <c r="H3404" s="0" t="inlineStr"/>
    </row>
    <row r="3405">
      <c r="A3405" s="0" t="inlineStr">
        <is>
          <t>Bài 36</t>
        </is>
      </c>
      <c r="B3405" s="0" t="inlineStr">
        <is>
          <t>开明</t>
        </is>
      </c>
      <c r="C3405" s="0" t="inlineStr">
        <is>
          <t>kāimíng</t>
        </is>
      </c>
      <c r="D3405" s="0" t="inlineStr">
        <is>
          <t>思想跟得上时代，愿意接受新事物</t>
        </is>
      </c>
      <c r="E3405" s="0" t="inlineStr">
        <is>
          <t>cởi mở, tiến bộ</t>
        </is>
      </c>
      <c r="F3405" s="0" t="inlineStr">
        <is>
          <t>我的中国同事很开明，很乐意教我地道的说法。</t>
        </is>
      </c>
      <c r="G3405" s="0" t="inlineStr"/>
      <c r="H3405" s="0" t="inlineStr"/>
    </row>
    <row r="3406">
      <c r="A3406" s="0" t="inlineStr">
        <is>
          <t>Bài 36</t>
        </is>
      </c>
      <c r="B3406" s="0" t="inlineStr">
        <is>
          <t>倡议</t>
        </is>
      </c>
      <c r="C3406" s="0" t="inlineStr">
        <is>
          <t>chàngyì</t>
        </is>
      </c>
      <c r="D3406" s="0" t="inlineStr">
        <is>
          <t>首先提出建议，希望大家响应</t>
        </is>
      </c>
      <c r="E3406" s="0" t="inlineStr">
        <is>
          <t>đề xướng, khởi xướng</t>
        </is>
      </c>
      <c r="F3406" s="0" t="inlineStr">
        <is>
          <t>我倡议大家每周找一天用中文互相聊天练口语。</t>
        </is>
      </c>
      <c r="G3406" s="0" t="inlineStr"/>
      <c r="H3406" s="0" t="inlineStr"/>
    </row>
    <row r="3407">
      <c r="A3407" s="0" t="inlineStr">
        <is>
          <t>Bài 36</t>
        </is>
      </c>
      <c r="B3407" s="0" t="inlineStr">
        <is>
          <t>杜绝</t>
        </is>
      </c>
      <c r="C3407" s="0" t="inlineStr">
        <is>
          <t>dùjué</t>
        </is>
      </c>
      <c r="D3407" s="0" t="inlineStr">
        <is>
          <t>彻底禁止，不让发生</t>
        </is>
      </c>
      <c r="E3407" s="0" t="inlineStr">
        <is>
          <t>tuyệt đối cấm, ngăn chặn hoàn toàn</t>
        </is>
      </c>
      <c r="F3407" s="0" t="inlineStr">
        <is>
          <t>为了杜绝上课迟到，我给学生定了个小小的奖励制度。</t>
        </is>
      </c>
      <c r="G3407" s="0" t="inlineStr"/>
      <c r="H3407" s="0" t="inlineStr"/>
    </row>
    <row r="3408">
      <c r="A3408" s="0" t="inlineStr">
        <is>
          <t>Bài 36</t>
        </is>
      </c>
      <c r="B3408" s="0" t="inlineStr">
        <is>
          <t>干涉</t>
        </is>
      </c>
      <c r="C3408" s="0" t="inlineStr">
        <is>
          <t>gānshè</t>
        </is>
      </c>
      <c r="D3408" s="0" t="inlineStr">
        <is>
          <t>过问、插手别人的事</t>
        </is>
      </c>
      <c r="E3408" s="0" t="inlineStr">
        <is>
          <t>can thiệp, xen vào</t>
        </is>
      </c>
      <c r="F3408" s="0" t="inlineStr">
        <is>
          <t>学生自己选题写作文，我一般不干涉他们的想法。</t>
        </is>
      </c>
      <c r="G3408" s="0" t="inlineStr"/>
      <c r="H3408" s="0" t="inlineStr"/>
    </row>
    <row r="3409">
      <c r="A3409" s="0" t="inlineStr">
        <is>
          <t>Bài 36</t>
        </is>
      </c>
      <c r="B3409" s="0" t="inlineStr">
        <is>
          <t>过问</t>
        </is>
      </c>
      <c r="C3409" s="0" t="inlineStr">
        <is>
          <t>guòwèn</t>
        </is>
      </c>
      <c r="D3409" s="0" t="inlineStr">
        <is>
          <t>关心、了解一下（某件事）</t>
        </is>
      </c>
      <c r="E3409" s="0" t="inlineStr">
        <is>
          <t>hỏi han, để mắt đến</t>
        </is>
      </c>
      <c r="F3409" s="0" t="inlineStr">
        <is>
          <t>只要学生按时交作业，具体怎么安排时间我不太过问。</t>
        </is>
      </c>
      <c r="G3409" s="0" t="inlineStr"/>
      <c r="H3409" s="0" t="inlineStr"/>
    </row>
    <row r="3410">
      <c r="A3410" s="0" t="inlineStr">
        <is>
          <t>Bài 36</t>
        </is>
      </c>
      <c r="B3410" s="0" t="inlineStr">
        <is>
          <t>激发</t>
        </is>
      </c>
      <c r="C3410" s="0" t="inlineStr">
        <is>
          <t>jīfā</t>
        </is>
      </c>
      <c r="D3410" s="0" t="inlineStr">
        <is>
          <t>引起、激起（兴趣、热情等）</t>
        </is>
      </c>
      <c r="E3410" s="0" t="inlineStr">
        <is>
          <t>khơi dậy, kích thích</t>
        </is>
      </c>
      <c r="F3410" s="0" t="inlineStr">
        <is>
          <t>用游戏教HSK1生词，能激发学生的学习兴趣。</t>
        </is>
      </c>
      <c r="G3410" s="0" t="inlineStr"/>
      <c r="H3410" s="0" t="inlineStr"/>
    </row>
    <row r="3411">
      <c r="A3411" s="0" t="inlineStr">
        <is>
          <t>Bài 36</t>
        </is>
      </c>
      <c r="B3411" s="0" t="inlineStr">
        <is>
          <t>多元化</t>
        </is>
      </c>
      <c r="C3411" s="0" t="inlineStr">
        <is>
          <t>duōyuánhuà</t>
        </is>
      </c>
      <c r="D3411" s="0" t="inlineStr">
        <is>
          <t>多种多样，不单一</t>
        </is>
      </c>
      <c r="E3411" s="0" t="inlineStr">
        <is>
          <t>đa dạng hóa</t>
        </is>
      </c>
      <c r="F3411" s="0" t="inlineStr">
        <is>
          <t>我教课的方法比较多元化，有游戏、有歌曲，也有传统讲解。</t>
        </is>
      </c>
      <c r="G3411" s="0" t="inlineStr"/>
      <c r="H3411" s="0" t="inlineStr"/>
    </row>
    <row r="3412">
      <c r="A3412" s="0" t="inlineStr">
        <is>
          <t>Bài 36</t>
        </is>
      </c>
      <c r="B3412" s="0" t="inlineStr">
        <is>
          <t>开展</t>
        </is>
      </c>
      <c r="C3412" s="0" t="inlineStr">
        <is>
          <t>kāizhǎn</t>
        </is>
      </c>
      <c r="D3412" s="0" t="inlineStr">
        <is>
          <t>使活动逐渐展开、进行</t>
        </is>
      </c>
      <c r="E3412" s="0" t="inlineStr">
        <is>
          <t>triển khai, tổ chức (hoạt động)</t>
        </is>
      </c>
      <c r="F3412" s="0" t="inlineStr">
        <is>
          <t>这学期中心打算开展一次中文角活动。</t>
        </is>
      </c>
      <c r="G3412" s="0" t="inlineStr"/>
      <c r="H3412" s="0" t="inlineStr"/>
    </row>
    <row r="3413">
      <c r="A3413" s="0" t="inlineStr">
        <is>
          <t>Bài 36</t>
        </is>
      </c>
      <c r="B3413" s="0" t="inlineStr">
        <is>
          <t>对立</t>
        </is>
      </c>
      <c r="C3413" s="0" t="inlineStr">
        <is>
          <t>duìlì</t>
        </is>
      </c>
      <c r="D3413" s="0" t="inlineStr">
        <is>
          <t>意见、立场完全相反</t>
        </is>
      </c>
      <c r="E3413" s="0" t="inlineStr">
        <is>
          <t>đối lập</t>
        </is>
      </c>
      <c r="F3413" s="0" t="inlineStr">
        <is>
          <t>我们对这次作文题目的看法有点对立，讨论了很久。</t>
        </is>
      </c>
      <c r="G3413" s="0" t="inlineStr"/>
      <c r="H3413" s="0" t="inlineStr"/>
    </row>
    <row r="3414">
      <c r="A3414" s="0" t="inlineStr">
        <is>
          <t>Bài 36</t>
        </is>
      </c>
      <c r="B3414" s="0" t="inlineStr">
        <is>
          <t>分歧</t>
        </is>
      </c>
      <c r="C3414" s="0" t="inlineStr">
        <is>
          <t>fēnqí</t>
        </is>
      </c>
      <c r="D3414" s="0" t="inlineStr">
        <is>
          <t>意见不一致的地方</t>
        </is>
      </c>
      <c r="E3414" s="0" t="inlineStr">
        <is>
          <t>sự bất đồng, mâu thuẫn ý kiến</t>
        </is>
      </c>
      <c r="F3414" s="0" t="inlineStr">
        <is>
          <t>我和同事在教学方法上有点分歧，不过讨论完就统一了。</t>
        </is>
      </c>
      <c r="G3414" s="0" t="inlineStr"/>
      <c r="H3414" s="0" t="inlineStr"/>
    </row>
    <row r="3415">
      <c r="A3415" s="0" t="inlineStr">
        <is>
          <t>Bài 36</t>
        </is>
      </c>
      <c r="B3415" s="0" t="inlineStr">
        <is>
          <t>保守</t>
        </is>
      </c>
      <c r="C3415" s="0" t="inlineStr">
        <is>
          <t>bǎoshǒu</t>
        </is>
      </c>
      <c r="D3415" s="0" t="inlineStr">
        <is>
          <t>思想陈旧，不愿意接受新事物</t>
        </is>
      </c>
      <c r="E3415" s="0" t="inlineStr">
        <is>
          <t>bảo thủ</t>
        </is>
      </c>
      <c r="F3415" s="0" t="inlineStr">
        <is>
          <t>有些老一辈的想法比较保守，觉得学中文就该死记硬背。</t>
        </is>
      </c>
      <c r="G3415" s="0" t="inlineStr"/>
      <c r="H3415" s="0" t="inlineStr"/>
    </row>
    <row r="3416">
      <c r="A3416" s="0" t="inlineStr">
        <is>
          <t>Bài 36</t>
        </is>
      </c>
      <c r="B3416" s="0" t="inlineStr">
        <is>
          <t>较量</t>
        </is>
      </c>
      <c r="C3416" s="0" t="inlineStr">
        <is>
          <t>jiàoliàng</t>
        </is>
      </c>
      <c r="D3416" s="0" t="inlineStr">
        <is>
          <t>比一比谁更强、更好</t>
        </is>
      </c>
      <c r="E3416" s="0" t="inlineStr">
        <is>
          <t>so tài, đọ sức</t>
        </is>
      </c>
      <c r="F3416" s="0" t="inlineStr">
        <is>
          <t>HSKK考试就像一场跟自己较量的比赛。</t>
        </is>
      </c>
      <c r="G3416" s="0" t="inlineStr"/>
      <c r="H3416" s="0" t="inlineStr"/>
    </row>
    <row r="3417">
      <c r="A3417" s="0" t="inlineStr">
        <is>
          <t>Bài 36</t>
        </is>
      </c>
      <c r="B3417" s="0" t="inlineStr">
        <is>
          <t>论坛</t>
        </is>
      </c>
      <c r="C3417" s="0" t="inlineStr">
        <is>
          <t>lùntán</t>
        </is>
      </c>
      <c r="D3417" s="0" t="inlineStr">
        <is>
          <t>大家一起讨论问题的场合</t>
        </is>
      </c>
      <c r="E3417" s="0" t="inlineStr">
        <is>
          <t>diễn đàn</t>
        </is>
      </c>
      <c r="F3417" s="0" t="inlineStr">
        <is>
          <t>我常在中文学习论坛上找HSK6真题资源。</t>
        </is>
      </c>
      <c r="G3417" s="0" t="inlineStr"/>
      <c r="H3417" s="0" t="inlineStr"/>
    </row>
    <row r="3418">
      <c r="A3418" s="0" t="inlineStr">
        <is>
          <t>Bài 36</t>
        </is>
      </c>
      <c r="B3418" s="0" t="inlineStr">
        <is>
          <t>激励</t>
        </is>
      </c>
      <c r="C3418" s="0" t="inlineStr">
        <is>
          <t>jīlì</t>
        </is>
      </c>
      <c r="D3418" s="0" t="inlineStr">
        <is>
          <t>鼓励，使人更有干劲</t>
        </is>
      </c>
      <c r="E3418" s="0" t="inlineStr">
        <is>
          <t>khích lệ, động viên</t>
        </is>
      </c>
      <c r="F3418" s="0" t="inlineStr">
        <is>
          <t>学生的一点点进步，都能激励我继续认真备课。</t>
        </is>
      </c>
      <c r="G3418" s="0" t="inlineStr"/>
      <c r="H3418" s="0" t="inlineStr"/>
    </row>
    <row r="3419">
      <c r="A3419" s="0" t="inlineStr">
        <is>
          <t>Bài 36</t>
        </is>
      </c>
      <c r="B3419" s="0" t="inlineStr">
        <is>
          <t>礼节</t>
        </is>
      </c>
      <c r="C3419" s="0" t="inlineStr">
        <is>
          <t>lǐjié</t>
        </is>
      </c>
      <c r="D3419" s="0" t="inlineStr">
        <is>
          <t>待人接物的礼貌规矩</t>
        </is>
      </c>
      <c r="E3419" s="0" t="inlineStr">
        <is>
          <t>lễ tiết, phép tắc xã giao</t>
        </is>
      </c>
      <c r="F3419" s="0" t="inlineStr">
        <is>
          <t>去中国朋友家做客前，我特意问了几个饭桌上的礼节。</t>
        </is>
      </c>
      <c r="G3419" s="0" t="inlineStr"/>
      <c r="H3419" s="0" t="inlineStr"/>
    </row>
    <row r="3420">
      <c r="A3420" s="0" t="inlineStr">
        <is>
          <t>Bài 36</t>
        </is>
      </c>
      <c r="B3420" s="0" t="inlineStr">
        <is>
          <t>衷心</t>
        </is>
      </c>
      <c r="C3420" s="0" t="inlineStr">
        <is>
          <t>zhōngxīn</t>
        </is>
      </c>
      <c r="D3420" s="0" t="inlineStr">
        <is>
          <t>发自内心的，真诚的</t>
        </is>
      </c>
      <c r="E3420" s="0" t="inlineStr">
        <is>
          <t>chân thành, tự đáy lòng</t>
        </is>
      </c>
      <c r="F3420" s="0" t="inlineStr">
        <is>
          <t>我衷心希望这次HSK6能考到理想的分数。</t>
        </is>
      </c>
      <c r="G3420" s="0" t="inlineStr"/>
      <c r="H3420" s="0" t="inlineStr"/>
    </row>
    <row r="3421">
      <c r="A3421" s="0" t="inlineStr">
        <is>
          <t>Bài 36</t>
        </is>
      </c>
      <c r="B3421" s="0" t="inlineStr">
        <is>
          <t>爱戴</t>
        </is>
      </c>
      <c r="C3421" s="0" t="inlineStr">
        <is>
          <t>àidài</t>
        </is>
      </c>
      <c r="D3421" s="0" t="inlineStr">
        <is>
          <t>尊敬并喜爱（多用于对长辈、领导）</t>
        </is>
      </c>
      <c r="E3421" s="0" t="inlineStr">
        <is>
          <t>kính yêu, mến mộ</t>
        </is>
      </c>
      <c r="F3421" s="0" t="inlineStr">
        <is>
          <t>那位老师很受学生爱戴，毕业多年大家还常回来看她。</t>
        </is>
      </c>
      <c r="G3421" s="0" t="inlineStr"/>
      <c r="H3421" s="0" t="inlineStr"/>
    </row>
    <row r="3422">
      <c r="A3422" s="0" t="inlineStr">
        <is>
          <t>Bài 36</t>
        </is>
      </c>
      <c r="B3422" s="0" t="inlineStr">
        <is>
          <t>示范</t>
        </is>
      </c>
      <c r="C3422" s="0" t="inlineStr">
        <is>
          <t>shìfàn</t>
        </is>
      </c>
      <c r="D3422" s="0" t="inlineStr">
        <is>
          <t>做出样子给别人看，让人学习</t>
        </is>
      </c>
      <c r="E3422" s="0" t="inlineStr">
        <is>
          <t>làm mẫu, thị phạm</t>
        </is>
      </c>
      <c r="F3422" s="0" t="inlineStr">
        <is>
          <t>教发音的时候，我会先示范一遍，再让学生跟读。</t>
        </is>
      </c>
      <c r="G3422" s="0" t="inlineStr"/>
      <c r="H3422" s="0" t="inlineStr"/>
    </row>
    <row r="3423">
      <c r="A3423" s="0" t="inlineStr">
        <is>
          <t>Bài 36</t>
        </is>
      </c>
      <c r="B3423" s="0" t="inlineStr">
        <is>
          <t>崇敬</t>
        </is>
      </c>
      <c r="C3423" s="0" t="inlineStr">
        <is>
          <t>chóngjìng</t>
        </is>
      </c>
      <c r="D3423" s="0" t="inlineStr">
        <is>
          <t>非常尊敬</t>
        </is>
      </c>
      <c r="E3423" s="0" t="inlineStr">
        <is>
          <t>sùng kính, ngưỡng mộ</t>
        </is>
      </c>
      <c r="F3423" s="0" t="inlineStr">
        <is>
          <t>我一直很崇敬那种坚持教育多年的老师。</t>
        </is>
      </c>
      <c r="G3423" s="0" t="inlineStr"/>
      <c r="H3423" s="0" t="inlineStr"/>
    </row>
    <row r="3424">
      <c r="A3424" s="0" t="inlineStr">
        <is>
          <t>Bài 36</t>
        </is>
      </c>
      <c r="B3424" s="0" t="inlineStr">
        <is>
          <t>偶像</t>
        </is>
      </c>
      <c r="C3424" s="0" t="inlineStr">
        <is>
          <t>ǒuxiàng</t>
        </is>
      </c>
      <c r="D3424" s="0" t="inlineStr">
        <is>
          <t>被崇拜、模仿的对象</t>
        </is>
      </c>
      <c r="E3424" s="0" t="inlineStr">
        <is>
          <t>thần tượng</t>
        </is>
      </c>
      <c r="F3424" s="0" t="inlineStr">
        <is>
          <t>那位翻译老师是我学中文路上的偶像。</t>
        </is>
      </c>
      <c r="G3424" s="0" t="inlineStr"/>
      <c r="H3424" s="0" t="inlineStr"/>
    </row>
    <row r="3425">
      <c r="A3425" s="0" t="inlineStr">
        <is>
          <t>Bài 36</t>
        </is>
      </c>
      <c r="B3425" s="0" t="inlineStr">
        <is>
          <t>封建</t>
        </is>
      </c>
      <c r="C3425" s="0" t="inlineStr">
        <is>
          <t>fēngjiàn</t>
        </is>
      </c>
      <c r="D3425" s="0" t="inlineStr">
        <is>
          <t>中国古代的一种社会制度（比喻思想守旧）</t>
        </is>
      </c>
      <c r="E3425" s="0" t="inlineStr">
        <is>
          <t>phong kiến</t>
        </is>
      </c>
      <c r="F3425" s="0" t="inlineStr">
        <is>
          <t>课文里讲的封建社会科举制度，跟现在的教育体系很不一样。</t>
        </is>
      </c>
      <c r="G3425" s="0" t="inlineStr"/>
      <c r="H3425" s="0" t="inlineStr"/>
    </row>
    <row r="3426">
      <c r="A3426" s="0" t="inlineStr">
        <is>
          <t>Bài 37</t>
        </is>
      </c>
      <c r="B3426" s="0" t="inlineStr">
        <is>
          <t>化妆</t>
        </is>
      </c>
      <c r="C3426" s="0" t="inlineStr">
        <is>
          <t>huàzhuāng</t>
        </is>
      </c>
      <c r="D3426" s="0" t="inlineStr">
        <is>
          <t>用化妆品让脸变得更好看</t>
        </is>
      </c>
      <c r="E3426" s="0" t="inlineStr">
        <is>
          <t>trang điểm</t>
        </is>
      </c>
      <c r="F3426" s="0" t="inlineStr">
        <is>
          <t>我今天要去见新同事，特意化了个淡妆。</t>
        </is>
      </c>
      <c r="G3426" s="0" t="inlineStr"/>
      <c r="H3426" s="0" t="inlineStr"/>
    </row>
    <row r="3427">
      <c r="A3427" s="0" t="inlineStr">
        <is>
          <t>Bài 37</t>
        </is>
      </c>
      <c r="B3427" s="0" t="inlineStr">
        <is>
          <t>屑</t>
        </is>
      </c>
      <c r="C3427" s="0" t="inlineStr">
        <is>
          <t>xiè</t>
        </is>
      </c>
      <c r="D3427" s="0" t="inlineStr">
        <is>
          <t>细碎的小渣、碎末</t>
        </is>
      </c>
      <c r="E3427" s="0" t="inlineStr">
        <is>
          <t>vụn, mảnh vụn</t>
        </is>
      </c>
      <c r="F3427" s="0" t="inlineStr">
        <is>
          <t>写完汉字练习，橡皮擦下来的屑撒了一桌子。</t>
        </is>
      </c>
      <c r="G3427" s="0" t="inlineStr"/>
      <c r="H3427" s="0" t="inlineStr"/>
    </row>
    <row r="3428">
      <c r="A3428" s="0" t="inlineStr">
        <is>
          <t>Bài 37</t>
        </is>
      </c>
      <c r="B3428" s="0" t="inlineStr">
        <is>
          <t>抢劫</t>
        </is>
      </c>
      <c r="C3428" s="0" t="inlineStr">
        <is>
          <t>qiǎngjié</t>
        </is>
      </c>
      <c r="D3428" s="0" t="inlineStr">
        <is>
          <t>用暴力手段抢走别人的东西</t>
        </is>
      </c>
      <c r="E3428" s="0" t="inlineStr">
        <is>
          <t>cướp giật, cướp bóc</t>
        </is>
      </c>
      <c r="F3428" s="0" t="inlineStr">
        <is>
          <t>这篇HSK6阅读讲的是一起抢劫案，生词特别多。</t>
        </is>
      </c>
      <c r="G3428" s="0" t="inlineStr"/>
      <c r="H3428" s="0" t="inlineStr"/>
    </row>
    <row r="3429">
      <c r="A3429" s="0" t="inlineStr">
        <is>
          <t>Bài 37</t>
        </is>
      </c>
      <c r="B3429" s="0" t="inlineStr">
        <is>
          <t>痕迹</t>
        </is>
      </c>
      <c r="C3429" s="0" t="inlineStr">
        <is>
          <t>hénjì</t>
        </is>
      </c>
      <c r="D3429" s="0" t="inlineStr">
        <is>
          <t>留下的印记或迹象</t>
        </is>
      </c>
      <c r="E3429" s="0" t="inlineStr">
        <is>
          <t>dấu vết, vết tích</t>
        </is>
      </c>
      <c r="F3429" s="0" t="inlineStr">
        <is>
          <t>这本旧词典上还留着我大学时代做笔记的痕迹。</t>
        </is>
      </c>
      <c r="G3429" s="0" t="inlineStr"/>
      <c r="H3429" s="0" t="inlineStr"/>
    </row>
    <row r="3430">
      <c r="A3430" s="0" t="inlineStr">
        <is>
          <t>Bài 37</t>
        </is>
      </c>
      <c r="B3430" s="0" t="inlineStr">
        <is>
          <t>停顿</t>
        </is>
      </c>
      <c r="C3430" s="0" t="inlineStr">
        <is>
          <t>tíngdùn</t>
        </is>
      </c>
      <c r="D3430" s="0" t="inlineStr">
        <is>
          <t>暂时停下来</t>
        </is>
      </c>
      <c r="E3430" s="0" t="inlineStr">
        <is>
          <t>dừng lại, ngừng lại (tạm thời)</t>
        </is>
      </c>
      <c r="F3430" s="0" t="inlineStr">
        <is>
          <t>朗读课文遇到逗号，我都会稍微停顿一下。</t>
        </is>
      </c>
      <c r="G3430" s="0" t="inlineStr"/>
      <c r="H3430" s="0" t="inlineStr"/>
    </row>
    <row r="3431">
      <c r="A3431" s="0" t="inlineStr">
        <is>
          <t>Bài 37</t>
        </is>
      </c>
      <c r="B3431" s="0" t="inlineStr">
        <is>
          <t>嫌疑</t>
        </is>
      </c>
      <c r="C3431" s="0" t="inlineStr">
        <is>
          <t>xiányí</t>
        </is>
      </c>
      <c r="D3431" s="0" t="inlineStr">
        <is>
          <t>被怀疑做了坏事的可能性</t>
        </is>
      </c>
      <c r="E3431" s="0" t="inlineStr">
        <is>
          <t>sự nghi ngờ, tình nghi</t>
        </is>
      </c>
      <c r="F3431" s="0" t="inlineStr">
        <is>
          <t>看完这篇侦探小说，我才知道原来嫌疑人不止一个。</t>
        </is>
      </c>
      <c r="G3431" s="0" t="inlineStr"/>
      <c r="H3431" s="0" t="inlineStr"/>
    </row>
    <row r="3432">
      <c r="A3432" s="0" t="inlineStr">
        <is>
          <t>Bài 37</t>
        </is>
      </c>
      <c r="B3432" s="0" t="inlineStr">
        <is>
          <t>线索</t>
        </is>
      </c>
      <c r="C3432" s="0" t="inlineStr">
        <is>
          <t>xiànsuǒ</t>
        </is>
      </c>
      <c r="D3432" s="0" t="inlineStr">
        <is>
          <t>帮助找到答案或真相的信息</t>
        </is>
      </c>
      <c r="E3432" s="0" t="inlineStr">
        <is>
          <t>manh mối, đầu mối</t>
        </is>
      </c>
      <c r="F3432" s="0" t="inlineStr">
        <is>
          <t>写作文没思路的时候，我会先从题目里找线索。</t>
        </is>
      </c>
      <c r="G3432" s="0" t="inlineStr"/>
      <c r="H3432" s="0" t="inlineStr"/>
    </row>
    <row r="3433">
      <c r="A3433" s="0" t="inlineStr">
        <is>
          <t>Bài 37</t>
        </is>
      </c>
      <c r="B3433" s="0" t="inlineStr">
        <is>
          <t>歹徒</t>
        </is>
      </c>
      <c r="C3433" s="0" t="inlineStr">
        <is>
          <t>dǎitú</t>
        </is>
      </c>
      <c r="D3433" s="0" t="inlineStr">
        <is>
          <t>做坏事、犯罪的人</t>
        </is>
      </c>
      <c r="E3433" s="0" t="inlineStr">
        <is>
          <t>kẻ xấu, tội phạm</t>
        </is>
      </c>
      <c r="F3433" s="0" t="inlineStr">
        <is>
          <t>警匪片里，警察最后总能抓住歹徒。</t>
        </is>
      </c>
      <c r="G3433" s="0" t="inlineStr"/>
      <c r="H3433" s="0" t="inlineStr"/>
    </row>
    <row r="3434">
      <c r="A3434" s="0" t="inlineStr">
        <is>
          <t>Bài 37</t>
        </is>
      </c>
      <c r="B3434" s="0" t="inlineStr">
        <is>
          <t>恐惧</t>
        </is>
      </c>
      <c r="C3434" s="0" t="inlineStr">
        <is>
          <t>kǒngjù</t>
        </is>
      </c>
      <c r="D3434" s="0" t="inlineStr">
        <is>
          <t>心里非常害怕</t>
        </is>
      </c>
      <c r="E3434" s="0" t="inlineStr">
        <is>
          <t>sợ hãi, khiếp sợ</t>
        </is>
      </c>
      <c r="F3434" s="0" t="inlineStr">
        <is>
          <t>第一次用中文打电话给客户时，我心里还有点恐惧。</t>
        </is>
      </c>
      <c r="G3434" s="0" t="inlineStr"/>
      <c r="H3434" s="0" t="inlineStr"/>
    </row>
    <row r="3435">
      <c r="A3435" s="0" t="inlineStr">
        <is>
          <t>Bài 37</t>
        </is>
      </c>
      <c r="B3435" s="0" t="inlineStr">
        <is>
          <t>铜</t>
        </is>
      </c>
      <c r="C3435" s="0" t="inlineStr">
        <is>
          <t>tóng</t>
        </is>
      </c>
      <c r="D3435" s="0" t="inlineStr">
        <is>
          <t>一种红黄色的金属</t>
        </is>
      </c>
      <c r="E3435" s="0" t="inlineStr">
        <is>
          <t>đồng (kim loại)</t>
        </is>
      </c>
      <c r="F3435" s="0" t="inlineStr">
        <is>
          <t>博物馆里那尊铜像，据说有上百年历史了。</t>
        </is>
      </c>
      <c r="G3435" s="0" t="inlineStr"/>
      <c r="H3435" s="0" t="inlineStr"/>
    </row>
    <row r="3436">
      <c r="A3436" s="0" t="inlineStr">
        <is>
          <t>Bài 37</t>
        </is>
      </c>
      <c r="B3436" s="0" t="inlineStr">
        <is>
          <t>框架</t>
        </is>
      </c>
      <c r="C3436" s="0" t="inlineStr">
        <is>
          <t>kuàngjià</t>
        </is>
      </c>
      <c r="D3436" s="0" t="inlineStr">
        <is>
          <t>事物的基本结构</t>
        </is>
      </c>
      <c r="E3436" s="0" t="inlineStr">
        <is>
          <t>khung, kết cấu, khuôn khổ</t>
        </is>
      </c>
      <c r="F3436" s="0" t="inlineStr">
        <is>
          <t>写作文前，我先列一个框架，再往里面填内容。</t>
        </is>
      </c>
      <c r="G3436" s="0" t="inlineStr"/>
      <c r="H3436" s="0" t="inlineStr"/>
    </row>
    <row r="3437">
      <c r="A3437" s="0" t="inlineStr">
        <is>
          <t>Bài 37</t>
        </is>
      </c>
      <c r="B3437" s="0" t="inlineStr">
        <is>
          <t>残留</t>
        </is>
      </c>
      <c r="C3437" s="0" t="inlineStr">
        <is>
          <t>cánliú</t>
        </is>
      </c>
      <c r="D3437" s="0" t="inlineStr">
        <is>
          <t>剩下一部分留在那里</t>
        </is>
      </c>
      <c r="E3437" s="0" t="inlineStr">
        <is>
          <t>còn sót lại, tồn dư</t>
        </is>
      </c>
      <c r="F3437" s="0" t="inlineStr">
        <is>
          <t>这道菜里残留着一点辣味，我吃得直冒汗。</t>
        </is>
      </c>
      <c r="G3437" s="0" t="inlineStr"/>
      <c r="H3437" s="0" t="inlineStr"/>
    </row>
    <row r="3438">
      <c r="A3438" s="0" t="inlineStr">
        <is>
          <t>Bài 37</t>
        </is>
      </c>
      <c r="B3438" s="0" t="inlineStr">
        <is>
          <t>刑事</t>
        </is>
      </c>
      <c r="C3438" s="0" t="inlineStr">
        <is>
          <t>xíngshì</t>
        </is>
      </c>
      <c r="D3438" s="0" t="inlineStr">
        <is>
          <t>跟犯罪、判刑有关的（事）</t>
        </is>
      </c>
      <c r="E3438" s="0" t="inlineStr">
        <is>
          <t>hình sự</t>
        </is>
      </c>
      <c r="F3438" s="0" t="inlineStr">
        <is>
          <t>这部刑事案件的电视剧台词很多，正好拿来练听力。</t>
        </is>
      </c>
      <c r="G3438" s="0" t="inlineStr"/>
      <c r="H3438" s="0" t="inlineStr"/>
    </row>
    <row r="3439">
      <c r="A3439" s="0" t="inlineStr">
        <is>
          <t>Bài 37</t>
        </is>
      </c>
      <c r="B3439" s="0" t="inlineStr">
        <is>
          <t>监狱</t>
        </is>
      </c>
      <c r="C3439" s="0" t="inlineStr">
        <is>
          <t>jiānyù</t>
        </is>
      </c>
      <c r="D3439" s="0" t="inlineStr">
        <is>
          <t>关押犯人的地方</t>
        </is>
      </c>
      <c r="E3439" s="0" t="inlineStr">
        <is>
          <t>nhà tù, nhà giam</t>
        </is>
      </c>
      <c r="F3439" s="0" t="inlineStr">
        <is>
          <t>课文里那个走私犯最后被送进了监狱。</t>
        </is>
      </c>
      <c r="G3439" s="0" t="inlineStr"/>
      <c r="H3439" s="0" t="inlineStr"/>
    </row>
    <row r="3440">
      <c r="A3440" s="0" t="inlineStr">
        <is>
          <t>Bài 37</t>
        </is>
      </c>
      <c r="B3440" s="0" t="inlineStr">
        <is>
          <t>慎重</t>
        </is>
      </c>
      <c r="C3440" s="0" t="inlineStr">
        <is>
          <t>shènzhòng</t>
        </is>
      </c>
      <c r="D3440" s="0" t="inlineStr">
        <is>
          <t>认真小心，不随便</t>
        </is>
      </c>
      <c r="E3440" s="0" t="inlineStr">
        <is>
          <t>thận trọng, cẩn trọng</t>
        </is>
      </c>
      <c r="F3440" s="0" t="inlineStr">
        <is>
          <t>决定要不要辞职去中国工作，我考虑得非常慎重。</t>
        </is>
      </c>
      <c r="G3440" s="0" t="inlineStr"/>
      <c r="H3440" s="0" t="inlineStr"/>
    </row>
    <row r="3441">
      <c r="A3441" s="0" t="inlineStr">
        <is>
          <t>Bài 37</t>
        </is>
      </c>
      <c r="B3441" s="0" t="inlineStr">
        <is>
          <t>麻痹</t>
        </is>
      </c>
      <c r="C3441" s="0" t="inlineStr">
        <is>
          <t>mábì</t>
        </is>
      </c>
      <c r="D3441" s="0" t="inlineStr">
        <is>
          <t>疏忽大意，警惕性不够</t>
        </is>
      </c>
      <c r="E3441" s="0" t="inlineStr">
        <is>
          <t>chủ quan, mất cảnh giác</t>
        </is>
      </c>
      <c r="F3441" s="0" t="inlineStr">
        <is>
          <t>考试前我不敢有一点麻痹，越到最后越要认真复习。</t>
        </is>
      </c>
      <c r="G3441" s="0" t="inlineStr"/>
      <c r="H3441" s="0" t="inlineStr"/>
    </row>
    <row r="3442">
      <c r="A3442" s="0" t="inlineStr">
        <is>
          <t>Bài 37</t>
        </is>
      </c>
      <c r="B3442" s="0" t="inlineStr">
        <is>
          <t>失误</t>
        </is>
      </c>
      <c r="C3442" s="0" t="inlineStr">
        <is>
          <t>shīwù</t>
        </is>
      </c>
      <c r="D3442" s="0" t="inlineStr">
        <is>
          <t>做错的地方，失手</t>
        </is>
      </c>
      <c r="E3442" s="0" t="inlineStr">
        <is>
          <t>sai sót, sai lầm</t>
        </is>
      </c>
      <c r="F3442" s="0" t="inlineStr">
        <is>
          <t>这次口语考试我有一个小失误，语序说反了。</t>
        </is>
      </c>
      <c r="G3442" s="0" t="inlineStr"/>
      <c r="H3442" s="0" t="inlineStr"/>
    </row>
    <row r="3443">
      <c r="A3443" s="0" t="inlineStr">
        <is>
          <t>Bài 37</t>
        </is>
      </c>
      <c r="B3443" s="0" t="inlineStr">
        <is>
          <t>考验</t>
        </is>
      </c>
      <c r="C3443" s="0" t="inlineStr">
        <is>
          <t>kǎoyàn</t>
        </is>
      </c>
      <c r="D3443" s="0" t="inlineStr">
        <is>
          <t>通过困难来检验一个人或事</t>
        </is>
      </c>
      <c r="E3443" s="0" t="inlineStr">
        <is>
          <t>thử thách</t>
        </is>
      </c>
      <c r="F3443" s="0" t="inlineStr">
        <is>
          <t>连续三个月每天背单词，对我的毅力真是一种考验。</t>
        </is>
      </c>
      <c r="G3443" s="0" t="inlineStr"/>
      <c r="H3443" s="0" t="inlineStr"/>
    </row>
    <row r="3444">
      <c r="A3444" s="0" t="inlineStr">
        <is>
          <t>Bài 37</t>
        </is>
      </c>
      <c r="B3444" s="0" t="inlineStr">
        <is>
          <t>检验</t>
        </is>
      </c>
      <c r="C3444" s="0" t="inlineStr">
        <is>
          <t>jiǎnyàn</t>
        </is>
      </c>
      <c r="D3444" s="0" t="inlineStr">
        <is>
          <t>检查、验证是否合格、正确</t>
        </is>
      </c>
      <c r="E3444" s="0" t="inlineStr">
        <is>
          <t>kiểm nghiệm, kiểm chứng</t>
        </is>
      </c>
      <c r="F3444" s="0" t="inlineStr">
        <is>
          <t>模拟考成绩能检验我这个月的学习效果。</t>
        </is>
      </c>
      <c r="G3444" s="0" t="inlineStr"/>
      <c r="H3444" s="0" t="inlineStr"/>
    </row>
    <row r="3445">
      <c r="A3445" s="0" t="inlineStr">
        <is>
          <t>Bài 37</t>
        </is>
      </c>
      <c r="B3445" s="0" t="inlineStr">
        <is>
          <t>沉着</t>
        </is>
      </c>
      <c r="C3445" s="0" t="inlineStr">
        <is>
          <t>chénzhuó</t>
        </is>
      </c>
      <c r="D3445" s="0" t="inlineStr">
        <is>
          <t>遇到事情不慌张，很镇定</t>
        </is>
      </c>
      <c r="E3445" s="0" t="inlineStr">
        <is>
          <t>điềm tĩnh, bình tĩnh</t>
        </is>
      </c>
      <c r="F3445" s="0" t="inlineStr">
        <is>
          <t>口语考试时就算一时忘词，我也告诉自己要沉着。</t>
        </is>
      </c>
      <c r="G3445" s="0" t="inlineStr"/>
      <c r="H3445" s="0" t="inlineStr"/>
    </row>
    <row r="3446">
      <c r="A3446" s="0" t="inlineStr">
        <is>
          <t>Bài 37</t>
        </is>
      </c>
      <c r="B3446" s="0" t="inlineStr">
        <is>
          <t>暂且</t>
        </is>
      </c>
      <c r="C3446" s="0" t="inlineStr">
        <is>
          <t>zànqiě</t>
        </is>
      </c>
      <c r="D3446" s="0" t="inlineStr">
        <is>
          <t>暂时先这样（书面）</t>
        </is>
      </c>
      <c r="E3446" s="0" t="inlineStr">
        <is>
          <t>tạm thời, hãy cứ</t>
        </is>
      </c>
      <c r="F3446" s="0" t="inlineStr">
        <is>
          <t>这个语法点有点复杂，我们暂且放一放，先把生词背熟。</t>
        </is>
      </c>
      <c r="G3446" s="0" t="inlineStr"/>
      <c r="H3446" s="0" t="inlineStr"/>
    </row>
    <row r="3447">
      <c r="A3447" s="0" t="inlineStr">
        <is>
          <t>Bài 37</t>
        </is>
      </c>
      <c r="B3447" s="0" t="inlineStr">
        <is>
          <t>查获</t>
        </is>
      </c>
      <c r="C3447" s="0" t="inlineStr">
        <is>
          <t>cháhuò</t>
        </is>
      </c>
      <c r="D3447" s="0" t="inlineStr">
        <is>
          <t>调查后发现并抓获（罪犯、违禁品）</t>
        </is>
      </c>
      <c r="E3447" s="0" t="inlineStr">
        <is>
          <t>điều tra và bắt giữ, phát hiện và thu giữ</t>
        </is>
      </c>
      <c r="F3447" s="0" t="inlineStr">
        <is>
          <t>新闻里说警方查获了一批假HSK证书，我看了很惊讶。</t>
        </is>
      </c>
      <c r="G3447" s="0" t="inlineStr"/>
      <c r="H3447" s="0" t="inlineStr"/>
    </row>
    <row r="3448">
      <c r="A3448" s="0" t="inlineStr">
        <is>
          <t>Bài 37</t>
        </is>
      </c>
      <c r="B3448" s="0" t="inlineStr">
        <is>
          <t>制裁</t>
        </is>
      </c>
      <c r="C3448" s="0" t="inlineStr">
        <is>
          <t>zhìcái</t>
        </is>
      </c>
      <c r="D3448" s="0" t="inlineStr">
        <is>
          <t>用强制手段惩罚、约束</t>
        </is>
      </c>
      <c r="E3448" s="0" t="inlineStr">
        <is>
          <t>chế tài, trừng phạt</t>
        </is>
      </c>
      <c r="F3448" s="0" t="inlineStr">
        <is>
          <t>作弊被发现的学生会受到学校的制裁。</t>
        </is>
      </c>
      <c r="G3448" s="0" t="inlineStr"/>
      <c r="H3448" s="0" t="inlineStr"/>
    </row>
    <row r="3449">
      <c r="A3449" s="0" t="inlineStr">
        <is>
          <t>Bài 37</t>
        </is>
      </c>
      <c r="B3449" s="0" t="inlineStr">
        <is>
          <t>公安局</t>
        </is>
      </c>
      <c r="C3449" s="0" t="inlineStr">
        <is>
          <t>gōng'ānjú</t>
        </is>
      </c>
      <c r="D3449" s="0" t="inlineStr">
        <is>
          <t>负责社会治安的政府机构</t>
        </is>
      </c>
      <c r="E3449" s="0" t="inlineStr">
        <is>
          <t>công an, sở công an</t>
        </is>
      </c>
      <c r="F3449" s="0" t="inlineStr">
        <is>
          <t>办居留证那次，我去公安局排了很久的队。</t>
        </is>
      </c>
      <c r="G3449" s="0" t="inlineStr"/>
      <c r="H3449" s="0" t="inlineStr"/>
    </row>
    <row r="3450">
      <c r="A3450" s="0" t="inlineStr">
        <is>
          <t>Bài 37</t>
        </is>
      </c>
      <c r="B3450" s="0" t="inlineStr">
        <is>
          <t>情报</t>
        </is>
      </c>
      <c r="C3450" s="0" t="inlineStr">
        <is>
          <t>qíngbào</t>
        </is>
      </c>
      <c r="D3450" s="0" t="inlineStr">
        <is>
          <t>有关某事的消息、资料</t>
        </is>
      </c>
      <c r="E3450" s="0" t="inlineStr">
        <is>
          <t>tình báo, thông tin</t>
        </is>
      </c>
      <c r="F3450" s="0" t="inlineStr">
        <is>
          <t>备考群里大家常互相分享HSK6考试的最新情报。</t>
        </is>
      </c>
      <c r="G3450" s="0" t="inlineStr"/>
      <c r="H3450" s="0" t="inlineStr"/>
    </row>
    <row r="3451">
      <c r="A3451" s="0" t="inlineStr">
        <is>
          <t>Bài 37</t>
        </is>
      </c>
      <c r="B3451" s="0" t="inlineStr">
        <is>
          <t>毒品</t>
        </is>
      </c>
      <c r="C3451" s="0" t="inlineStr">
        <is>
          <t>dúpǐn</t>
        </is>
      </c>
      <c r="D3451" s="0" t="inlineStr">
        <is>
          <t>会让人上瘾、危害身体的违禁物品</t>
        </is>
      </c>
      <c r="E3451" s="0" t="inlineStr">
        <is>
          <t>ma túy</t>
        </is>
      </c>
      <c r="F3451" s="0" t="inlineStr">
        <is>
          <t>这篇课文讲的是警察打击毒品犯罪的故事。</t>
        </is>
      </c>
      <c r="G3451" s="0" t="inlineStr"/>
      <c r="H3451" s="0" t="inlineStr"/>
    </row>
    <row r="3452">
      <c r="A3452" s="0" t="inlineStr">
        <is>
          <t>Bài 37</t>
        </is>
      </c>
      <c r="B3452" s="0" t="inlineStr">
        <is>
          <t>带领</t>
        </is>
      </c>
      <c r="C3452" s="0" t="inlineStr">
        <is>
          <t>dàilǐng</t>
        </is>
      </c>
      <c r="D3452" s="0" t="inlineStr">
        <is>
          <t>领着大家一起做某事</t>
        </is>
      </c>
      <c r="E3452" s="0" t="inlineStr">
        <is>
          <t>dẫn dắt, dẫn đầu</t>
        </is>
      </c>
      <c r="F3452" s="0" t="inlineStr">
        <is>
          <t>老师带领我们分角色朗读课文，气氛特别活跃。</t>
        </is>
      </c>
      <c r="G3452" s="0" t="inlineStr"/>
      <c r="H3452" s="0" t="inlineStr"/>
    </row>
    <row r="3453">
      <c r="A3453" s="0" t="inlineStr">
        <is>
          <t>Bài 37</t>
        </is>
      </c>
      <c r="B3453" s="0" t="inlineStr">
        <is>
          <t>部署</t>
        </is>
      </c>
      <c r="C3453" s="0" t="inlineStr">
        <is>
          <t>bùshǔ</t>
        </is>
      </c>
      <c r="D3453" s="0" t="inlineStr">
        <is>
          <t>安排、布置（人力、任务等）</t>
        </is>
      </c>
      <c r="E3453" s="0" t="inlineStr">
        <is>
          <t>bố trí, sắp xếp (kế hoạch, lực lượng)</t>
        </is>
      </c>
      <c r="F3453" s="0" t="inlineStr">
        <is>
          <t>备考最后一个月，我重新部署了自己的复习计划。</t>
        </is>
      </c>
      <c r="G3453" s="0" t="inlineStr"/>
      <c r="H3453" s="0" t="inlineStr"/>
    </row>
    <row r="3454">
      <c r="A3454" s="0" t="inlineStr">
        <is>
          <t>Bài 37</t>
        </is>
      </c>
      <c r="B3454" s="0" t="inlineStr">
        <is>
          <t>埋伏</t>
        </is>
      </c>
      <c r="C3454" s="0" t="inlineStr">
        <is>
          <t>máifú</t>
        </is>
      </c>
      <c r="D3454" s="0" t="inlineStr">
        <is>
          <t>预先躲藏起来等待时机</t>
        </is>
      </c>
      <c r="E3454" s="0" t="inlineStr">
        <is>
          <t>mai phục, ẩn nấp</t>
        </is>
      </c>
      <c r="F3454" s="0" t="inlineStr">
        <is>
          <t>这篇故事里警察埋伏了一整夜才抓到犯人。</t>
        </is>
      </c>
      <c r="G3454" s="0" t="inlineStr"/>
      <c r="H3454" s="0" t="inlineStr"/>
    </row>
    <row r="3455">
      <c r="A3455" s="0" t="inlineStr">
        <is>
          <t>Bài 37</t>
        </is>
      </c>
      <c r="B3455" s="0" t="inlineStr">
        <is>
          <t>布置</t>
        </is>
      </c>
      <c r="C3455" s="0" t="inlineStr">
        <is>
          <t>bùzhì</t>
        </is>
      </c>
      <c r="D3455" s="0" t="inlineStr">
        <is>
          <t>安排、摆放使整齐、有条理</t>
        </is>
      </c>
      <c r="E3455" s="0" t="inlineStr">
        <is>
          <t>bố trí, sắp đặt</t>
        </is>
      </c>
      <c r="F3455" s="0" t="inlineStr">
        <is>
          <t>过年前，我帮中国朋友一起布置了家里的装饰。</t>
        </is>
      </c>
      <c r="G3455" s="0" t="inlineStr"/>
      <c r="H3455" s="0" t="inlineStr"/>
    </row>
    <row r="3456">
      <c r="A3456" s="0" t="inlineStr">
        <is>
          <t>Bài 37</t>
        </is>
      </c>
      <c r="B3456" s="0" t="inlineStr">
        <is>
          <t>反抗</t>
        </is>
      </c>
      <c r="C3456" s="0" t="inlineStr">
        <is>
          <t>fǎnkàng</t>
        </is>
      </c>
      <c r="D3456" s="0" t="inlineStr">
        <is>
          <t>用行动对抗、不服从</t>
        </is>
      </c>
      <c r="E3456" s="0" t="inlineStr">
        <is>
          <t>phản kháng, chống lại</t>
        </is>
      </c>
      <c r="F3456" s="0" t="inlineStr">
        <is>
          <t>小时候不想学习，我也反抗过妈妈让我背单词的安排。</t>
        </is>
      </c>
      <c r="G3456" s="0" t="inlineStr"/>
      <c r="H3456" s="0" t="inlineStr"/>
    </row>
    <row r="3457">
      <c r="A3457" s="0" t="inlineStr">
        <is>
          <t>Bài 37</t>
        </is>
      </c>
      <c r="B3457" s="0" t="inlineStr">
        <is>
          <t>逮捕</t>
        </is>
      </c>
      <c r="C3457" s="0" t="inlineStr">
        <is>
          <t>dàibǔ</t>
        </is>
      </c>
      <c r="D3457" s="0" t="inlineStr">
        <is>
          <t>依法把犯罪嫌疑人抓起来</t>
        </is>
      </c>
      <c r="E3457" s="0" t="inlineStr">
        <is>
          <t>bắt giữ, bắt bớ (theo pháp luật)</t>
        </is>
      </c>
      <c r="F3457" s="0" t="inlineStr">
        <is>
          <t>新闻报道说警方逮捕了那伙贩卖毒品的人。</t>
        </is>
      </c>
      <c r="G3457" s="0" t="inlineStr"/>
      <c r="H3457" s="0" t="inlineStr"/>
    </row>
    <row r="3458">
      <c r="A3458" s="0" t="inlineStr">
        <is>
          <t>Bài 37</t>
        </is>
      </c>
      <c r="B3458" s="0" t="inlineStr">
        <is>
          <t>非法</t>
        </is>
      </c>
      <c r="C3458" s="0" t="inlineStr">
        <is>
          <t>fēifǎ</t>
        </is>
      </c>
      <c r="D3458" s="0" t="inlineStr">
        <is>
          <t>不合法，违反法律的</t>
        </is>
      </c>
      <c r="E3458" s="0" t="inlineStr">
        <is>
          <t>bất hợp pháp, phi pháp</t>
        </is>
      </c>
      <c r="F3458" s="0" t="inlineStr">
        <is>
          <t>在国外打工要小心，别不小心做了非法的事。</t>
        </is>
      </c>
      <c r="G3458" s="0" t="inlineStr"/>
      <c r="H3458" s="0" t="inlineStr"/>
    </row>
    <row r="3459">
      <c r="A3459" s="0" t="inlineStr">
        <is>
          <t>Bài 37</t>
        </is>
      </c>
      <c r="B3459" s="0" t="inlineStr">
        <is>
          <t>贩卖</t>
        </is>
      </c>
      <c r="C3459" s="0" t="inlineStr">
        <is>
          <t>fànmài</t>
        </is>
      </c>
      <c r="D3459" s="0" t="inlineStr">
        <is>
          <t>做买卖（多指违禁品）</t>
        </is>
      </c>
      <c r="E3459" s="0" t="inlineStr">
        <is>
          <t>buôn bán (thường chỉ hàng cấm)</t>
        </is>
      </c>
      <c r="F3459" s="0" t="inlineStr">
        <is>
          <t>课文讲的是警察抓获贩卖毒品团伙的故事。</t>
        </is>
      </c>
      <c r="G3459" s="0" t="inlineStr"/>
      <c r="H3459" s="0" t="inlineStr"/>
    </row>
    <row r="3460">
      <c r="A3460" s="0" t="inlineStr">
        <is>
          <t>Bài 37</t>
        </is>
      </c>
      <c r="B3460" s="0" t="inlineStr">
        <is>
          <t>平面</t>
        </is>
      </c>
      <c r="C3460" s="0" t="inlineStr">
        <is>
          <t>píngmiàn</t>
        </is>
      </c>
      <c r="D3460" s="0" t="inlineStr">
        <is>
          <t>没有高低起伏的平的面</t>
        </is>
      </c>
      <c r="E3460" s="0" t="inlineStr">
        <is>
          <t>mặt phẳng</t>
        </is>
      </c>
      <c r="F3460" s="0" t="inlineStr">
        <is>
          <t>老师用平面图给我们讲解句子结构，一下就明白了。</t>
        </is>
      </c>
      <c r="G3460" s="0" t="inlineStr"/>
      <c r="H3460" s="0" t="inlineStr"/>
    </row>
    <row r="3461">
      <c r="A3461" s="0" t="inlineStr">
        <is>
          <t>Bài 37</t>
        </is>
      </c>
      <c r="B3461" s="0" t="inlineStr">
        <is>
          <t>平行</t>
        </is>
      </c>
      <c r="C3461" s="0" t="inlineStr">
        <is>
          <t>píngxíng</t>
        </is>
      </c>
      <c r="D3461" s="0" t="inlineStr">
        <is>
          <t>两条线永远保持相同距离，不相交</t>
        </is>
      </c>
      <c r="E3461" s="0" t="inlineStr">
        <is>
          <t>song song</t>
        </is>
      </c>
      <c r="F3461" s="0" t="inlineStr">
        <is>
          <t>备考和教课这两件事，我尽量让它们平行进行，互不耽误。</t>
        </is>
      </c>
      <c r="G3461" s="0" t="inlineStr"/>
      <c r="H3461" s="0" t="inlineStr"/>
    </row>
    <row r="3462">
      <c r="A3462" s="0" t="inlineStr">
        <is>
          <t>Bài 37</t>
        </is>
      </c>
      <c r="B3462" s="0" t="inlineStr">
        <is>
          <t>并列</t>
        </is>
      </c>
      <c r="C3462" s="0" t="inlineStr">
        <is>
          <t>bìngliè</t>
        </is>
      </c>
      <c r="D3462" s="0" t="inlineStr">
        <is>
          <t>地位、等级相同，排在一起</t>
        </is>
      </c>
      <c r="E3462" s="0" t="inlineStr">
        <is>
          <t>ngang hàng, xếp cùng hạng</t>
        </is>
      </c>
      <c r="F3462" s="0" t="inlineStr">
        <is>
          <t>这次模拟考，我和另一个同学并列第一。</t>
        </is>
      </c>
      <c r="G3462" s="0" t="inlineStr"/>
      <c r="H3462" s="0" t="inlineStr"/>
    </row>
    <row r="3463">
      <c r="A3463" s="0" t="inlineStr">
        <is>
          <t>Bài 37</t>
        </is>
      </c>
      <c r="B3463" s="0" t="inlineStr">
        <is>
          <t>交叉</t>
        </is>
      </c>
      <c r="C3463" s="0" t="inlineStr">
        <is>
          <t>jiāochā</t>
        </is>
      </c>
      <c r="D3463" s="0" t="inlineStr">
        <is>
          <t>两条线、道路等相交</t>
        </is>
      </c>
      <c r="E3463" s="0" t="inlineStr">
        <is>
          <t>giao nhau, cắt nhau</t>
        </is>
      </c>
      <c r="F3463" s="0" t="inlineStr">
        <is>
          <t>我把教HSK1和自己学HSK6的时间安排得有点交叉，得重新调整。</t>
        </is>
      </c>
      <c r="G3463" s="0" t="inlineStr"/>
      <c r="H3463" s="0" t="inlineStr"/>
    </row>
    <row r="3464">
      <c r="A3464" s="0" t="inlineStr">
        <is>
          <t>Bài 37</t>
        </is>
      </c>
      <c r="B3464" s="0" t="inlineStr">
        <is>
          <t>包袱</t>
        </is>
      </c>
      <c r="C3464" s="0" t="inlineStr">
        <is>
          <t>bāofu</t>
        </is>
      </c>
      <c r="D3464" s="0" t="inlineStr">
        <is>
          <t>心理上的负担（比喻）</t>
        </is>
      </c>
      <c r="E3464" s="0" t="inlineStr">
        <is>
          <t>gánh nặng tâm lý</t>
        </is>
      </c>
      <c r="F3464" s="0" t="inlineStr">
        <is>
          <t>一开始考HSK6压力很大，后来我试着放下包袱，反而考得更好。</t>
        </is>
      </c>
      <c r="G3464" s="0" t="inlineStr"/>
      <c r="H3464" s="0" t="inlineStr"/>
    </row>
    <row r="3465">
      <c r="A3465" s="0" t="inlineStr">
        <is>
          <t>Bài 37</t>
        </is>
      </c>
      <c r="B3465" s="0" t="inlineStr">
        <is>
          <t>胆怯</t>
        </is>
      </c>
      <c r="C3465" s="0" t="inlineStr">
        <is>
          <t>dǎnqiè</t>
        </is>
      </c>
      <c r="D3465" s="0" t="inlineStr">
        <is>
          <t>害怕，不敢做某事</t>
        </is>
      </c>
      <c r="E3465" s="0" t="inlineStr">
        <is>
          <t>nhút nhát, sợ sệt</t>
        </is>
      </c>
      <c r="F3465" s="0" t="inlineStr">
        <is>
          <t>刚开始跟中国同事开会，我说中文还有点胆怯。</t>
        </is>
      </c>
      <c r="G3465" s="0" t="inlineStr"/>
      <c r="H3465" s="0" t="inlineStr"/>
    </row>
    <row r="3466">
      <c r="A3466" s="0" t="inlineStr">
        <is>
          <t>Bài 37</t>
        </is>
      </c>
      <c r="B3466" s="0" t="inlineStr">
        <is>
          <t>哄</t>
        </is>
      </c>
      <c r="C3466" s="0" t="inlineStr">
        <is>
          <t>hǒng</t>
        </is>
      </c>
      <c r="D3466" s="0" t="inlineStr">
        <is>
          <t>用好话让人高兴或听话</t>
        </is>
      </c>
      <c r="E3466" s="0" t="inlineStr">
        <is>
          <t>dỗ dành</t>
        </is>
      </c>
      <c r="F3466" s="0" t="inlineStr">
        <is>
          <t>学生考试没考好，我会先哄一哄他，再帮他分析问题出在哪儿。</t>
        </is>
      </c>
      <c r="G3466" s="0" t="inlineStr"/>
      <c r="H3466" s="0" t="inlineStr"/>
    </row>
    <row r="3467">
      <c r="A3467" s="0" t="inlineStr">
        <is>
          <t>Bài 37</t>
        </is>
      </c>
      <c r="B3467" s="0" t="inlineStr">
        <is>
          <t>信赖</t>
        </is>
      </c>
      <c r="C3467" s="0" t="inlineStr">
        <is>
          <t>xìnlài</t>
        </is>
      </c>
      <c r="D3467" s="0" t="inlineStr">
        <is>
          <t>相信并依靠</t>
        </is>
      </c>
      <c r="E3467" s="0" t="inlineStr">
        <is>
          <t>tin cậy, tín nhiệm</t>
        </is>
      </c>
      <c r="F3467" s="0" t="inlineStr">
        <is>
          <t>教了几年HSK1，学生和家长都挺信赖我的。</t>
        </is>
      </c>
      <c r="G3467" s="0" t="inlineStr"/>
      <c r="H3467" s="0" t="inlineStr"/>
    </row>
    <row r="3468">
      <c r="A3468" s="0" t="inlineStr">
        <is>
          <t>Bài 37</t>
        </is>
      </c>
      <c r="B3468" s="0" t="inlineStr">
        <is>
          <t>忠诚</t>
        </is>
      </c>
      <c r="C3468" s="0" t="inlineStr">
        <is>
          <t>zhōngchéng</t>
        </is>
      </c>
      <c r="D3468" s="0" t="inlineStr">
        <is>
          <t>始终如一，不背叛</t>
        </is>
      </c>
      <c r="E3468" s="0" t="inlineStr">
        <is>
          <t>trung thành</t>
        </is>
      </c>
      <c r="F3468" s="0" t="inlineStr">
        <is>
          <t>对学中文这件事，我这几年一直很忠诚，从没想过放弃。</t>
        </is>
      </c>
      <c r="G3468" s="0" t="inlineStr"/>
      <c r="H3468" s="0" t="inlineStr"/>
    </row>
    <row r="3469">
      <c r="A3469" s="0" t="inlineStr">
        <is>
          <t>Bài 37</t>
        </is>
      </c>
      <c r="B3469" s="0" t="inlineStr">
        <is>
          <t>舌头</t>
        </is>
      </c>
      <c r="C3469" s="0" t="inlineStr">
        <is>
          <t>shétou</t>
        </is>
      </c>
      <c r="D3469" s="0" t="inlineStr">
        <is>
          <t>嘴里能尝味道、帮助发音的器官</t>
        </is>
      </c>
      <c r="E3469" s="0" t="inlineStr">
        <is>
          <t>cái lưỡi</t>
        </is>
      </c>
      <c r="F3469" s="0" t="inlineStr">
        <is>
          <t>练习卷舌音的时候，我的舌头总是不听使唤。</t>
        </is>
      </c>
      <c r="G3469" s="0" t="inlineStr"/>
      <c r="H3469" s="0" t="inlineStr"/>
    </row>
    <row r="3470">
      <c r="A3470" s="0" t="inlineStr">
        <is>
          <t>Bài 37</t>
        </is>
      </c>
      <c r="B3470" s="0" t="inlineStr">
        <is>
          <t>舔</t>
        </is>
      </c>
      <c r="C3470" s="0" t="inlineStr">
        <is>
          <t>tiǎn</t>
        </is>
      </c>
      <c r="D3470" s="0" t="inlineStr">
        <is>
          <t>用舌头碰、沾</t>
        </is>
      </c>
      <c r="E3470" s="0" t="inlineStr">
        <is>
          <t>liếm</t>
        </is>
      </c>
      <c r="F3470" s="0" t="inlineStr">
        <is>
          <t>我家猫每次吃完饭都会舔舔嘴巴，特别可爱。</t>
        </is>
      </c>
      <c r="G3470" s="0" t="inlineStr"/>
      <c r="H3470" s="0" t="inlineStr"/>
    </row>
    <row r="3471">
      <c r="A3471" s="0" t="inlineStr">
        <is>
          <t>Bài 37</t>
        </is>
      </c>
      <c r="B3471" s="0" t="inlineStr">
        <is>
          <t>空隙</t>
        </is>
      </c>
      <c r="C3471" s="0" t="inlineStr">
        <is>
          <t>kòngxì</t>
        </is>
      </c>
      <c r="D3471" s="0" t="inlineStr">
        <is>
          <t>两个东西之间的空间；空闲的时间</t>
        </is>
      </c>
      <c r="E3471" s="0" t="inlineStr">
        <is>
          <t>khoảng trống, khe hở; thời gian rảnh</t>
        </is>
      </c>
      <c r="F3471" s="0" t="inlineStr">
        <is>
          <t>我利用上班的空隙时间，用手机背几个生词。</t>
        </is>
      </c>
      <c r="G3471" s="0" t="inlineStr"/>
      <c r="H3471" s="0" t="inlineStr"/>
    </row>
    <row r="3472">
      <c r="A3472" s="0" t="inlineStr">
        <is>
          <t>Bài 37</t>
        </is>
      </c>
      <c r="B3472" s="0" t="inlineStr">
        <is>
          <t>扒</t>
        </is>
      </c>
      <c r="C3472" s="0" t="inlineStr">
        <is>
          <t>pá</t>
        </is>
      </c>
      <c r="D3472" s="0" t="inlineStr">
        <is>
          <t>偷偷从别人身上摸走东西</t>
        </is>
      </c>
      <c r="E3472" s="0" t="inlineStr">
        <is>
          <t>móc túi, ăn cắp (từ trên người)</t>
        </is>
      </c>
      <c r="F3472" s="0" t="inlineStr">
        <is>
          <t>新闻里说地铁上有人扒窃乘客的手机，大家都很小心。</t>
        </is>
      </c>
      <c r="G3472" s="0" t="inlineStr"/>
      <c r="H3472" s="0" t="inlineStr"/>
    </row>
    <row r="3473">
      <c r="A3473" s="0" t="inlineStr">
        <is>
          <t>Bài 37</t>
        </is>
      </c>
      <c r="B3473" s="0" t="inlineStr">
        <is>
          <t>垫</t>
        </is>
      </c>
      <c r="C3473" s="0" t="inlineStr">
        <is>
          <t>diàn</t>
        </is>
      </c>
      <c r="D3473" s="0" t="inlineStr">
        <is>
          <t>垫在下面的东西，比如坐垫</t>
        </is>
      </c>
      <c r="E3473" s="0" t="inlineStr">
        <is>
          <t>miếng đệm, tấm lót</t>
        </is>
      </c>
      <c r="F3473" s="0" t="inlineStr">
        <is>
          <t>我在椅子上放了个垫子，坐着学习更舒服。</t>
        </is>
      </c>
      <c r="G3473" s="0" t="inlineStr"/>
      <c r="H3473" s="0" t="inlineStr"/>
    </row>
    <row r="3474">
      <c r="A3474" s="0" t="inlineStr">
        <is>
          <t>Bài 37</t>
        </is>
      </c>
      <c r="B3474" s="0" t="inlineStr">
        <is>
          <t>叼</t>
        </is>
      </c>
      <c r="C3474" s="0" t="inlineStr">
        <is>
          <t>diāo</t>
        </is>
      </c>
      <c r="D3474" s="0" t="inlineStr">
        <is>
          <t>用嘴咬住并叼起来</t>
        </is>
      </c>
      <c r="E3474" s="0" t="inlineStr">
        <is>
          <t>ngậm, tha (trong miệng)</t>
        </is>
      </c>
      <c r="F3474" s="0" t="inlineStr">
        <is>
          <t>我家狗每次看到我拿书包，就会叼着自己的玩具跑过来。</t>
        </is>
      </c>
      <c r="G3474" s="0" t="inlineStr"/>
      <c r="H3474" s="0" t="inlineStr"/>
    </row>
    <row r="3475">
      <c r="A3475" s="0" t="inlineStr">
        <is>
          <t>Bài 37</t>
        </is>
      </c>
      <c r="B3475" s="0" t="inlineStr">
        <is>
          <t>粉末</t>
        </is>
      </c>
      <c r="C3475" s="0" t="inlineStr">
        <is>
          <t>fěnmò</t>
        </is>
      </c>
      <c r="D3475" s="0" t="inlineStr">
        <is>
          <t>很细的粉状物质</t>
        </is>
      </c>
      <c r="E3475" s="0" t="inlineStr">
        <is>
          <t>bột, dạng bột</t>
        </is>
      </c>
      <c r="F3475" s="0" t="inlineStr">
        <is>
          <t>冲奶茶的时候，我常常把粉末撒到桌子上。</t>
        </is>
      </c>
      <c r="G3475" s="0" t="inlineStr"/>
      <c r="H3475" s="0" t="inlineStr"/>
    </row>
    <row r="3476">
      <c r="A3476" s="0" t="inlineStr">
        <is>
          <t>Bài 37</t>
        </is>
      </c>
      <c r="B3476" s="0" t="inlineStr">
        <is>
          <t>口腔</t>
        </is>
      </c>
      <c r="C3476" s="0" t="inlineStr">
        <is>
          <t>kǒuqiāng</t>
        </is>
      </c>
      <c r="D3476" s="0" t="inlineStr">
        <is>
          <t>嘴巴里面的空间</t>
        </is>
      </c>
      <c r="E3476" s="0" t="inlineStr">
        <is>
          <t>khoang miệng</t>
        </is>
      </c>
      <c r="F3476" s="0" t="inlineStr">
        <is>
          <t>练习发音之前，老师让我们先做几个口腔操。</t>
        </is>
      </c>
      <c r="G3476" s="0" t="inlineStr"/>
      <c r="H3476" s="0" t="inlineStr"/>
    </row>
    <row r="3477">
      <c r="A3477" s="0" t="inlineStr">
        <is>
          <t>Bài 38</t>
        </is>
      </c>
      <c r="B3477" s="0" t="inlineStr">
        <is>
          <t>屡次</t>
        </is>
      </c>
      <c r="C3477" s="0" t="inlineStr">
        <is>
          <t>lǚcì</t>
        </is>
      </c>
      <c r="D3477" s="0" t="inlineStr">
        <is>
          <t>一次又一次，多次重复</t>
        </is>
      </c>
      <c r="E3477" s="0" t="inlineStr">
        <is>
          <t>nhiều lần, lặp đi lặp lại</t>
        </is>
      </c>
      <c r="F3477" s="0" t="inlineStr">
        <is>
          <t>备考HSK6，我屡次卡在写作这一项，得多花时间练习。</t>
        </is>
      </c>
      <c r="G3477" s="0" t="inlineStr"/>
      <c r="H3477" s="0" t="inlineStr"/>
    </row>
    <row r="3478">
      <c r="A3478" s="0" t="inlineStr">
        <is>
          <t>Bài 38</t>
        </is>
      </c>
      <c r="B3478" s="0" t="inlineStr">
        <is>
          <t>依据</t>
        </is>
      </c>
      <c r="C3478" s="0" t="inlineStr">
        <is>
          <t>yījù</t>
        </is>
      </c>
      <c r="D3478" s="0" t="inlineStr">
        <is>
          <t>以某事物为根据、前提</t>
        </is>
      </c>
      <c r="E3478" s="0" t="inlineStr">
        <is>
          <t>căn cứ vào, dựa theo</t>
        </is>
      </c>
      <c r="F3478" s="0" t="inlineStr">
        <is>
          <t>我依据老师的建议，重新调整了自己的复习计划。</t>
        </is>
      </c>
      <c r="G3478" s="0" t="inlineStr"/>
      <c r="H3478" s="0" t="inlineStr"/>
    </row>
    <row r="3479">
      <c r="A3479" s="0" t="inlineStr">
        <is>
          <t>Bài 38</t>
        </is>
      </c>
      <c r="B3479" s="0" t="inlineStr">
        <is>
          <t>罐</t>
        </is>
      </c>
      <c r="C3479" s="0" t="inlineStr">
        <is>
          <t>guàn</t>
        </is>
      </c>
      <c r="D3479" s="0" t="inlineStr">
        <is>
          <t>装东西用的圆筒形容器</t>
        </is>
      </c>
      <c r="E3479" s="0" t="inlineStr">
        <is>
          <t>cái lọ, cái hũ, cái lon</t>
        </is>
      </c>
      <c r="F3479" s="0" t="inlineStr">
        <is>
          <t>我买了一罐蜂蜜，每天早上冲一杯蜂蜜水。</t>
        </is>
      </c>
      <c r="G3479" s="0" t="inlineStr"/>
      <c r="H3479" s="0" t="inlineStr"/>
    </row>
    <row r="3480">
      <c r="A3480" s="0" t="inlineStr">
        <is>
          <t>Bài 38</t>
        </is>
      </c>
      <c r="B3480" s="0" t="inlineStr">
        <is>
          <t>数额</t>
        </is>
      </c>
      <c r="C3480" s="0" t="inlineStr">
        <is>
          <t>shù'é</t>
        </is>
      </c>
      <c r="D3480" s="0" t="inlineStr">
        <is>
          <t>规定或计算出来的数目</t>
        </is>
      </c>
      <c r="E3480" s="0" t="inlineStr">
        <is>
          <t>số lượng, hạn mức</t>
        </is>
      </c>
      <c r="F3480" s="0" t="inlineStr">
        <is>
          <t>报名HSK6的名额有数额限制，我早早就交了材料。</t>
        </is>
      </c>
      <c r="G3480" s="0" t="inlineStr"/>
      <c r="H3480" s="0" t="inlineStr"/>
    </row>
    <row r="3481">
      <c r="A3481" s="0" t="inlineStr">
        <is>
          <t>Bài 38</t>
        </is>
      </c>
      <c r="B3481" s="0" t="inlineStr">
        <is>
          <t>永恒</t>
        </is>
      </c>
      <c r="C3481" s="0" t="inlineStr">
        <is>
          <t>yǒnghéng</t>
        </is>
      </c>
      <c r="D3481" s="0" t="inlineStr">
        <is>
          <t>永远不变，一直存在</t>
        </is>
      </c>
      <c r="E3481" s="0" t="inlineStr">
        <is>
          <t>vĩnh hằng, mãi mãi</t>
        </is>
      </c>
      <c r="F3481" s="0" t="inlineStr">
        <is>
          <t>老师说“坚持”是学好一门语言永恒的道理。</t>
        </is>
      </c>
      <c r="G3481" s="0" t="inlineStr"/>
      <c r="H3481" s="0" t="inlineStr"/>
    </row>
    <row r="3482">
      <c r="A3482" s="0" t="inlineStr">
        <is>
          <t>Bài 38</t>
        </is>
      </c>
      <c r="B3482" s="0" t="inlineStr">
        <is>
          <t>遵循</t>
        </is>
      </c>
      <c r="C3482" s="0" t="inlineStr">
        <is>
          <t>zūnxún</t>
        </is>
      </c>
      <c r="D3482" s="0" t="inlineStr">
        <is>
          <t>按照（原则、规律）去做</t>
        </is>
      </c>
      <c r="E3482" s="0" t="inlineStr">
        <is>
          <t>tuân theo, tuân thủ</t>
        </is>
      </c>
      <c r="F3482" s="0" t="inlineStr">
        <is>
          <t>学中文我一直遵循“先输入后输出”的原则。</t>
        </is>
      </c>
      <c r="G3482" s="0" t="inlineStr"/>
      <c r="H3482" s="0" t="inlineStr"/>
    </row>
    <row r="3483">
      <c r="A3483" s="0" t="inlineStr">
        <is>
          <t>Bài 38</t>
        </is>
      </c>
      <c r="B3483" s="0" t="inlineStr">
        <is>
          <t>不屑</t>
        </is>
      </c>
      <c r="C3483" s="0" t="inlineStr">
        <is>
          <t>búxiè</t>
        </is>
      </c>
      <c r="D3483" s="0" t="inlineStr">
        <is>
          <t>认为不值得，看不上</t>
        </is>
      </c>
      <c r="E3483" s="0" t="inlineStr">
        <is>
          <t>coi thường, không thèm để ý</t>
        </is>
      </c>
      <c r="F3483" s="0" t="inlineStr">
        <is>
          <t>以前我不屑背语法书里的例句，后来才发现那些例句很有用。</t>
        </is>
      </c>
      <c r="G3483" s="0" t="inlineStr"/>
      <c r="H3483" s="0" t="inlineStr"/>
    </row>
    <row r="3484">
      <c r="A3484" s="0" t="inlineStr">
        <is>
          <t>Bài 38</t>
        </is>
      </c>
      <c r="B3484" s="0" t="inlineStr">
        <is>
          <t>孕育</t>
        </is>
      </c>
      <c r="C3484" s="0" t="inlineStr">
        <is>
          <t>yùnyù</t>
        </is>
      </c>
      <c r="D3484" s="0" t="inlineStr">
        <is>
          <t>在其中逐渐形成、酝酿</t>
        </is>
      </c>
      <c r="E3484" s="0" t="inlineStr">
        <is>
          <t>ấp ủ, thai nghén (ý tưởng, sự việc)</t>
        </is>
      </c>
      <c r="F3484" s="0" t="inlineStr">
        <is>
          <t>每天听中文播客的习惯，孕育了我现在还不错的听力水平。</t>
        </is>
      </c>
      <c r="G3484" s="0" t="inlineStr"/>
      <c r="H3484" s="0" t="inlineStr"/>
    </row>
    <row r="3485">
      <c r="A3485" s="0" t="inlineStr">
        <is>
          <t>Bài 38</t>
        </is>
      </c>
      <c r="B3485" s="0" t="inlineStr">
        <is>
          <t>博览会</t>
        </is>
      </c>
      <c r="C3485" s="0" t="inlineStr">
        <is>
          <t>bólǎnhuì</t>
        </is>
      </c>
      <c r="D3485" s="0" t="inlineStr">
        <is>
          <t>大型展览会</t>
        </is>
      </c>
      <c r="E3485" s="0" t="inlineStr">
        <is>
          <t>hội chợ triển lãm</t>
        </is>
      </c>
      <c r="F3485" s="0" t="inlineStr">
        <is>
          <t>上次我去参观了一个中国文化博览会，学到不少新词。</t>
        </is>
      </c>
      <c r="G3485" s="0" t="inlineStr"/>
      <c r="H3485" s="0" t="inlineStr"/>
    </row>
    <row r="3486">
      <c r="A3486" s="0" t="inlineStr">
        <is>
          <t>Bài 38</t>
        </is>
      </c>
      <c r="B3486" s="0" t="inlineStr">
        <is>
          <t>耐用</t>
        </is>
      </c>
      <c r="C3486" s="0" t="inlineStr">
        <is>
          <t>nàiyòng</t>
        </is>
      </c>
      <c r="D3486" s="0" t="inlineStr">
        <is>
          <t>使用时间长，不容易坏</t>
        </is>
      </c>
      <c r="E3486" s="0" t="inlineStr">
        <is>
          <t>bền, dùng được lâu</t>
        </is>
      </c>
      <c r="F3486" s="0" t="inlineStr">
        <is>
          <t>这本词典虽然旧了，但很耐用，我还在用它查生词。</t>
        </is>
      </c>
      <c r="G3486" s="0" t="inlineStr"/>
      <c r="H3486" s="0" t="inlineStr"/>
    </row>
    <row r="3487">
      <c r="A3487" s="0" t="inlineStr">
        <is>
          <t>Bài 38</t>
        </is>
      </c>
      <c r="B3487" s="0" t="inlineStr">
        <is>
          <t>魔术</t>
        </is>
      </c>
      <c r="C3487" s="0" t="inlineStr">
        <is>
          <t>móshù</t>
        </is>
      </c>
      <c r="D3487" s="0" t="inlineStr">
        <is>
          <t>变戏法的表演</t>
        </is>
      </c>
      <c r="E3487" s="0" t="inlineStr">
        <is>
          <t>ảo thuật</t>
        </is>
      </c>
      <c r="F3487" s="0" t="inlineStr">
        <is>
          <t>教HSK1的时候，我常用小魔术吸引学生的注意力。</t>
        </is>
      </c>
      <c r="G3487" s="0" t="inlineStr"/>
      <c r="H3487" s="0" t="inlineStr"/>
    </row>
    <row r="3488">
      <c r="A3488" s="0" t="inlineStr">
        <is>
          <t>Bài 38</t>
        </is>
      </c>
      <c r="B3488" s="0" t="inlineStr">
        <is>
          <t>扣</t>
        </is>
      </c>
      <c r="C3488" s="0" t="inlineStr">
        <is>
          <t>kòu</t>
        </is>
      </c>
      <c r="D3488" s="0" t="inlineStr">
        <is>
          <t>从原有数量中减去、扣除</t>
        </is>
      </c>
      <c r="E3488" s="0" t="inlineStr">
        <is>
          <t>trừ, khấu trừ</t>
        </is>
      </c>
      <c r="F3488" s="0" t="inlineStr">
        <is>
          <t>作文里语法错了一个，老师就扣了我半分。</t>
        </is>
      </c>
      <c r="G3488" s="0" t="inlineStr"/>
      <c r="H3488" s="0" t="inlineStr"/>
    </row>
    <row r="3489">
      <c r="A3489" s="0" t="inlineStr">
        <is>
          <t>Bài 38</t>
        </is>
      </c>
      <c r="B3489" s="0" t="inlineStr">
        <is>
          <t>季度</t>
        </is>
      </c>
      <c r="C3489" s="0" t="inlineStr">
        <is>
          <t>jìdù</t>
        </is>
      </c>
      <c r="D3489" s="0" t="inlineStr">
        <is>
          <t>一年分成的四个三个月阶段</t>
        </is>
      </c>
      <c r="E3489" s="0" t="inlineStr">
        <is>
          <t>quý (ba tháng)</t>
        </is>
      </c>
      <c r="F3489" s="0" t="inlineStr">
        <is>
          <t>我给自己定了一个季度目标：这个季度背完一千个生词。</t>
        </is>
      </c>
      <c r="G3489" s="0" t="inlineStr"/>
      <c r="H3489" s="0" t="inlineStr"/>
    </row>
    <row r="3490">
      <c r="A3490" s="0" t="inlineStr">
        <is>
          <t>Bài 38</t>
        </is>
      </c>
      <c r="B3490" s="0" t="inlineStr">
        <is>
          <t>本钱</t>
        </is>
      </c>
      <c r="C3490" s="0" t="inlineStr">
        <is>
          <t>běnqián</t>
        </is>
      </c>
      <c r="D3490" s="0" t="inlineStr">
        <is>
          <t>做生意用的资金；比喻依靠的条件</t>
        </is>
      </c>
      <c r="E3490" s="0" t="inlineStr">
        <is>
          <t>vốn liếng (tiền); điều kiện làm vốn</t>
        </is>
      </c>
      <c r="F3490" s="0" t="inlineStr">
        <is>
          <t>年轻是我学语言最大的本钱，得抓紧时间多学点。</t>
        </is>
      </c>
      <c r="G3490" s="0" t="inlineStr"/>
      <c r="H3490" s="0" t="inlineStr"/>
    </row>
    <row r="3491">
      <c r="A3491" s="0" t="inlineStr">
        <is>
          <t>Bài 38</t>
        </is>
      </c>
      <c r="B3491" s="0" t="inlineStr">
        <is>
          <t>通货膨胀</t>
        </is>
      </c>
      <c r="C3491" s="0" t="inlineStr">
        <is>
          <t>tōnghuòpéngzhàng</t>
        </is>
      </c>
      <c r="D3491" s="0" t="inlineStr">
        <is>
          <t>物价普遍上涨，钱变得不值钱</t>
        </is>
      </c>
      <c r="E3491" s="0" t="inlineStr">
        <is>
          <t>lạm phát</t>
        </is>
      </c>
      <c r="F3491" s="0" t="inlineStr">
        <is>
          <t>新闻里常提到通货膨胀，这个词HSK6作文也很常用。</t>
        </is>
      </c>
      <c r="G3491" s="0" t="inlineStr"/>
      <c r="H3491" s="0" t="inlineStr"/>
    </row>
    <row r="3492">
      <c r="A3492" s="0" t="inlineStr">
        <is>
          <t>Bài 38</t>
        </is>
      </c>
      <c r="B3492" s="0" t="inlineStr">
        <is>
          <t>平庸</t>
        </is>
      </c>
      <c r="C3492" s="0" t="inlineStr">
        <is>
          <t>píngyōng</t>
        </is>
      </c>
      <c r="D3492" s="0" t="inlineStr">
        <is>
          <t>普普通通，没有特色和才能</t>
        </is>
      </c>
      <c r="E3492" s="0" t="inlineStr">
        <is>
          <t>tầm thường, xoàng xĩnh</t>
        </is>
      </c>
      <c r="F3492" s="0" t="inlineStr">
        <is>
          <t>我不甘心自己的中文永远停留在平庸的水平，所以一直坚持学。</t>
        </is>
      </c>
      <c r="G3492" s="0" t="inlineStr"/>
      <c r="H3492" s="0" t="inlineStr"/>
    </row>
    <row r="3493">
      <c r="A3493" s="0" t="inlineStr">
        <is>
          <t>Bài 38</t>
        </is>
      </c>
      <c r="B3493" s="0" t="inlineStr">
        <is>
          <t>捏</t>
        </is>
      </c>
      <c r="C3493" s="0" t="inlineStr">
        <is>
          <t>niē</t>
        </is>
      </c>
      <c r="D3493" s="0" t="inlineStr">
        <is>
          <t>用手指夹住、按压</t>
        </is>
      </c>
      <c r="E3493" s="0" t="inlineStr">
        <is>
          <t>nặn, bóp, kẹp (bằng ngón tay)</t>
        </is>
      </c>
      <c r="F3493" s="0" t="inlineStr">
        <is>
          <t>写汉字握笔的时候，我总是捏得太紧，手会酸。</t>
        </is>
      </c>
      <c r="G3493" s="0" t="inlineStr"/>
      <c r="H3493" s="0" t="inlineStr"/>
    </row>
    <row r="3494">
      <c r="A3494" s="0" t="inlineStr">
        <is>
          <t>Bài 38</t>
        </is>
      </c>
      <c r="B3494" s="0" t="inlineStr">
        <is>
          <t>环节</t>
        </is>
      </c>
      <c r="C3494" s="0" t="inlineStr">
        <is>
          <t>huánjié</t>
        </is>
      </c>
      <c r="D3494" s="0" t="inlineStr">
        <is>
          <t>整体中相互连接的一部分</t>
        </is>
      </c>
      <c r="E3494" s="0" t="inlineStr">
        <is>
          <t>khâu, mắt xích (trong một quá trình)</t>
        </is>
      </c>
      <c r="F3494" s="0" t="inlineStr">
        <is>
          <t>备考计划里，听力是我最薄弱的一个环节。</t>
        </is>
      </c>
      <c r="G3494" s="0" t="inlineStr"/>
      <c r="H3494" s="0" t="inlineStr"/>
    </row>
    <row r="3495">
      <c r="A3495" s="0" t="inlineStr">
        <is>
          <t>Bài 38</t>
        </is>
      </c>
      <c r="B3495" s="0" t="inlineStr">
        <is>
          <t>兴旺</t>
        </is>
      </c>
      <c r="C3495" s="0" t="inlineStr">
        <is>
          <t>xīngwàng</t>
        </is>
      </c>
      <c r="D3495" s="0" t="inlineStr">
        <is>
          <t>发展得好，很繁荣</t>
        </is>
      </c>
      <c r="E3495" s="0" t="inlineStr">
        <is>
          <t>hưng thịnh, phát đạt</t>
        </is>
      </c>
      <c r="F3495" s="0" t="inlineStr">
        <is>
          <t>这几年学中文的人越来越多，中文培训市场很兴旺。</t>
        </is>
      </c>
      <c r="G3495" s="0" t="inlineStr"/>
      <c r="H3495" s="0" t="inlineStr"/>
    </row>
    <row r="3496">
      <c r="A3496" s="0" t="inlineStr">
        <is>
          <t>Bài 38</t>
        </is>
      </c>
      <c r="B3496" s="0" t="inlineStr">
        <is>
          <t>垄断</t>
        </is>
      </c>
      <c r="C3496" s="0" t="inlineStr">
        <is>
          <t>lǒngduàn</t>
        </is>
      </c>
      <c r="D3496" s="0" t="inlineStr">
        <is>
          <t>一家独占，不让别人参与</t>
        </is>
      </c>
      <c r="E3496" s="0" t="inlineStr">
        <is>
          <t>độc quyền</t>
        </is>
      </c>
      <c r="F3496" s="0" t="inlineStr">
        <is>
          <t>以前觉得只有名校才能垄断好老师资源，后来发现网课打破了这个限制。</t>
        </is>
      </c>
      <c r="G3496" s="0" t="inlineStr"/>
      <c r="H3496" s="0" t="inlineStr"/>
    </row>
    <row r="3497">
      <c r="A3497" s="0" t="inlineStr">
        <is>
          <t>Bài 38</t>
        </is>
      </c>
      <c r="B3497" s="0" t="inlineStr">
        <is>
          <t>扩充</t>
        </is>
      </c>
      <c r="C3497" s="0" t="inlineStr">
        <is>
          <t>kuòchōng</t>
        </is>
      </c>
      <c r="D3497" s="0" t="inlineStr">
        <is>
          <t>扩大充实（内容、规模等）</t>
        </is>
      </c>
      <c r="E3497" s="0" t="inlineStr">
        <is>
          <t>mở rộng, bổ sung (quy mô, nội dung)</t>
        </is>
      </c>
      <c r="F3497" s="0" t="inlineStr">
        <is>
          <t>这学期我打算扩充一下自己的成语库，争取用到写作里。</t>
        </is>
      </c>
      <c r="G3497" s="0" t="inlineStr"/>
      <c r="H3497" s="0" t="inlineStr"/>
    </row>
    <row r="3498">
      <c r="A3498" s="0" t="inlineStr">
        <is>
          <t>Bài 38</t>
        </is>
      </c>
      <c r="B3498" s="0" t="inlineStr">
        <is>
          <t>掏</t>
        </is>
      </c>
      <c r="C3498" s="0" t="inlineStr">
        <is>
          <t>tāo</t>
        </is>
      </c>
      <c r="D3498" s="0" t="inlineStr">
        <is>
          <t>伸手到里面取东西</t>
        </is>
      </c>
      <c r="E3498" s="0" t="inlineStr">
        <is>
          <t>móc, thò tay lấy (ra)</t>
        </is>
      </c>
      <c r="F3498" s="0" t="inlineStr">
        <is>
          <t>上课铃一响，我赶紧从包里掏出课本。</t>
        </is>
      </c>
      <c r="G3498" s="0" t="inlineStr"/>
      <c r="H3498" s="0" t="inlineStr"/>
    </row>
    <row r="3499">
      <c r="A3499" s="0" t="inlineStr">
        <is>
          <t>Bài 38</t>
        </is>
      </c>
      <c r="B3499" s="0" t="inlineStr">
        <is>
          <t>布局</t>
        </is>
      </c>
      <c r="C3499" s="0" t="inlineStr">
        <is>
          <t>bùjú</t>
        </is>
      </c>
      <c r="D3499" s="0" t="inlineStr">
        <is>
          <t>对全局做出安排、设计</t>
        </is>
      </c>
      <c r="E3499" s="0" t="inlineStr">
        <is>
          <t>bố cục, sắp xếp tổng thể</t>
        </is>
      </c>
      <c r="F3499" s="0" t="inlineStr">
        <is>
          <t>写作文前，我会先布局一下段落顺序，再动笔。</t>
        </is>
      </c>
      <c r="G3499" s="0" t="inlineStr"/>
      <c r="H3499" s="0" t="inlineStr"/>
    </row>
    <row r="3500">
      <c r="A3500" s="0" t="inlineStr">
        <is>
          <t>Bài 38</t>
        </is>
      </c>
      <c r="B3500" s="0" t="inlineStr">
        <is>
          <t>拟定</t>
        </is>
      </c>
      <c r="C3500" s="0" t="inlineStr">
        <is>
          <t>nǐdìng</t>
        </is>
      </c>
      <c r="D3500" s="0" t="inlineStr">
        <is>
          <t>起草、制定（计划等）</t>
        </is>
      </c>
      <c r="E3500" s="0" t="inlineStr">
        <is>
          <t>dự thảo, đặt ra (kế hoạch)</t>
        </is>
      </c>
      <c r="F3500" s="0" t="inlineStr">
        <is>
          <t>我给自己拟定了一份三个月的HSK6冲刺计划。</t>
        </is>
      </c>
      <c r="G3500" s="0" t="inlineStr"/>
      <c r="H3500" s="0" t="inlineStr"/>
    </row>
    <row r="3501">
      <c r="A3501" s="0" t="inlineStr">
        <is>
          <t>Bài 38</t>
        </is>
      </c>
      <c r="B3501" s="0" t="inlineStr">
        <is>
          <t>策略</t>
        </is>
      </c>
      <c r="C3501" s="0" t="inlineStr">
        <is>
          <t>cèlüè</t>
        </is>
      </c>
      <c r="D3501" s="0" t="inlineStr">
        <is>
          <t>做事的方法和对策</t>
        </is>
      </c>
      <c r="E3501" s="0" t="inlineStr">
        <is>
          <t>chiến lược, sách lược</t>
        </is>
      </c>
      <c r="F3501" s="0" t="inlineStr">
        <is>
          <t>考前我调整了答题策略，先做拿手的阅读题。</t>
        </is>
      </c>
      <c r="G3501" s="0" t="inlineStr"/>
      <c r="H3501" s="0" t="inlineStr"/>
    </row>
    <row r="3502">
      <c r="A3502" s="0" t="inlineStr">
        <is>
          <t>Bài 38</t>
        </is>
      </c>
      <c r="B3502" s="0" t="inlineStr">
        <is>
          <t>咀嚼</t>
        </is>
      </c>
      <c r="C3502" s="0" t="inlineStr">
        <is>
          <t>jǔjué</t>
        </is>
      </c>
      <c r="D3502" s="0" t="inlineStr">
        <is>
          <t>用牙齿磨碎食物</t>
        </is>
      </c>
      <c r="E3502" s="0" t="inlineStr">
        <is>
          <t>nhai</t>
        </is>
      </c>
      <c r="F3502" s="0" t="inlineStr">
        <is>
          <t>吃饭时慢慢咀嚼，边吃边跟中国同事聊天，是我练口语的好机会。</t>
        </is>
      </c>
      <c r="G3502" s="0" t="inlineStr"/>
      <c r="H3502" s="0" t="inlineStr"/>
    </row>
    <row r="3503">
      <c r="A3503" s="0" t="inlineStr">
        <is>
          <t>Bài 38</t>
        </is>
      </c>
      <c r="B3503" s="0" t="inlineStr">
        <is>
          <t>可口</t>
        </is>
      </c>
      <c r="C3503" s="0" t="inlineStr">
        <is>
          <t>kěkǒu</t>
        </is>
      </c>
      <c r="D3503" s="0" t="inlineStr">
        <is>
          <t>食物味道好，吃起来舒服</t>
        </is>
      </c>
      <c r="E3503" s="0" t="inlineStr">
        <is>
          <t>ngon miệng</t>
        </is>
      </c>
      <c r="F3503" s="0" t="inlineStr">
        <is>
          <t>食堂今天的菜特别可口，我一下子吃了两碗。</t>
        </is>
      </c>
      <c r="G3503" s="0" t="inlineStr"/>
      <c r="H3503" s="0" t="inlineStr"/>
    </row>
    <row r="3504">
      <c r="A3504" s="0" t="inlineStr">
        <is>
          <t>Bài 38</t>
        </is>
      </c>
      <c r="B3504" s="0" t="inlineStr">
        <is>
          <t>物美价廉</t>
        </is>
      </c>
      <c r="C3504" s="0" t="inlineStr">
        <is>
          <t>wùměijiàlián</t>
        </is>
      </c>
      <c r="D3504" s="0" t="inlineStr">
        <is>
          <t>东西好，价格又便宜</t>
        </is>
      </c>
      <c r="E3504" s="0" t="inlineStr">
        <is>
          <t>vật đẹp giá rẻ, chất lượng tốt giá cả phải chăng</t>
        </is>
      </c>
      <c r="F3504" s="0" t="inlineStr">
        <is>
          <t>这家文具店的中文练习本物美价廉，我常去那儿买。</t>
        </is>
      </c>
      <c r="G3504" s="0" t="inlineStr"/>
      <c r="H3504" s="0" t="inlineStr"/>
    </row>
    <row r="3505">
      <c r="A3505" s="0" t="inlineStr">
        <is>
          <t>Bài 38</t>
        </is>
      </c>
      <c r="B3505" s="0" t="inlineStr">
        <is>
          <t>风味</t>
        </is>
      </c>
      <c r="C3505" s="0" t="inlineStr">
        <is>
          <t>fēngwèi</t>
        </is>
      </c>
      <c r="D3505" s="0" t="inlineStr">
        <is>
          <t>食物或事物独有的特色</t>
        </is>
      </c>
      <c r="E3505" s="0" t="inlineStr">
        <is>
          <t>hương vị, phong vị đặc trưng</t>
        </is>
      </c>
      <c r="F3505" s="0" t="inlineStr">
        <is>
          <t>第一次吃到地道的四川风味小吃，我辣得直流眼泪。</t>
        </is>
      </c>
      <c r="G3505" s="0" t="inlineStr"/>
      <c r="H3505" s="0" t="inlineStr"/>
    </row>
    <row r="3506">
      <c r="A3506" s="0" t="inlineStr">
        <is>
          <t>Bài 38</t>
        </is>
      </c>
      <c r="B3506" s="0" t="inlineStr">
        <is>
          <t>吹捧</t>
        </is>
      </c>
      <c r="C3506" s="0" t="inlineStr">
        <is>
          <t>chuīpěng</t>
        </is>
      </c>
      <c r="D3506" s="0" t="inlineStr">
        <is>
          <t>过分地夸奖、赞美</t>
        </is>
      </c>
      <c r="E3506" s="0" t="inlineStr">
        <is>
          <t>tâng bốc, ca ngợi thái quá</t>
        </is>
      </c>
      <c r="F3506" s="0" t="inlineStr">
        <is>
          <t>我不太喜欢那种互相吹捧的应酬场合。</t>
        </is>
      </c>
      <c r="G3506" s="0" t="inlineStr"/>
      <c r="H3506" s="0" t="inlineStr"/>
    </row>
    <row r="3507">
      <c r="A3507" s="0" t="inlineStr">
        <is>
          <t>Bài 38</t>
        </is>
      </c>
      <c r="B3507" s="0" t="inlineStr">
        <is>
          <t>品尝</t>
        </is>
      </c>
      <c r="C3507" s="0" t="inlineStr">
        <is>
          <t>pǐncháng</t>
        </is>
      </c>
      <c r="D3507" s="0" t="inlineStr">
        <is>
          <t>尝一尝味道</t>
        </is>
      </c>
      <c r="E3507" s="0" t="inlineStr">
        <is>
          <t>nếm thử, thưởng thức</t>
        </is>
      </c>
      <c r="F3507" s="0" t="inlineStr">
        <is>
          <t>中国同事请我品尝了他们家乡的特产，味道很特别。</t>
        </is>
      </c>
      <c r="G3507" s="0" t="inlineStr"/>
      <c r="H3507" s="0" t="inlineStr"/>
    </row>
    <row r="3508">
      <c r="A3508" s="0" t="inlineStr">
        <is>
          <t>Bài 38</t>
        </is>
      </c>
      <c r="B3508" s="0" t="inlineStr">
        <is>
          <t>踊跃</t>
        </is>
      </c>
      <c r="C3508" s="0" t="inlineStr">
        <is>
          <t>yǒngyuè</t>
        </is>
      </c>
      <c r="D3508" s="0" t="inlineStr">
        <is>
          <t>积极热情地参加、争先恐后</t>
        </is>
      </c>
      <c r="E3508" s="0" t="inlineStr">
        <is>
          <t>hăng hái, sôi nổi (tham gia)</t>
        </is>
      </c>
      <c r="F3508" s="0" t="inlineStr">
        <is>
          <t>中心组织中文角活动，学生们报名都很踊跃。</t>
        </is>
      </c>
      <c r="G3508" s="0" t="inlineStr"/>
      <c r="H3508" s="0" t="inlineStr"/>
    </row>
    <row r="3509">
      <c r="A3509" s="0" t="inlineStr">
        <is>
          <t>Bài 38</t>
        </is>
      </c>
      <c r="B3509" s="0" t="inlineStr">
        <is>
          <t>井</t>
        </is>
      </c>
      <c r="C3509" s="0" t="inlineStr">
        <is>
          <t>jǐng</t>
        </is>
      </c>
      <c r="D3509" s="0" t="inlineStr">
        <is>
          <t>从地下打出的取水或取油的洞</t>
        </is>
      </c>
      <c r="E3509" s="0" t="inlineStr">
        <is>
          <t>cái giếng</t>
        </is>
      </c>
      <c r="F3509" s="0" t="inlineStr">
        <is>
          <t>课文里那句成语“坐井观天”，让我想起小时候老家院子里的井。</t>
        </is>
      </c>
      <c r="G3509" s="0" t="inlineStr"/>
      <c r="H3509" s="0" t="inlineStr"/>
    </row>
    <row r="3510">
      <c r="A3510" s="0" t="inlineStr">
        <is>
          <t>Bài 38</t>
        </is>
      </c>
      <c r="B3510" s="0" t="inlineStr">
        <is>
          <t>财务</t>
        </is>
      </c>
      <c r="C3510" s="0" t="inlineStr">
        <is>
          <t>cáiwù</t>
        </is>
      </c>
      <c r="D3510" s="0" t="inlineStr">
        <is>
          <t>关于资金、账目的事务</t>
        </is>
      </c>
      <c r="E3510" s="0" t="inlineStr">
        <is>
          <t>tài chính, kế toán</t>
        </is>
      </c>
      <c r="F3510" s="0" t="inlineStr">
        <is>
          <t>中心的财务每个月都会核对一次学费收支。</t>
        </is>
      </c>
      <c r="G3510" s="0" t="inlineStr"/>
      <c r="H3510" s="0" t="inlineStr"/>
    </row>
    <row r="3511">
      <c r="A3511" s="0" t="inlineStr">
        <is>
          <t>Bài 38</t>
        </is>
      </c>
      <c r="B3511" s="0" t="inlineStr">
        <is>
          <t>局部</t>
        </is>
      </c>
      <c r="C3511" s="0" t="inlineStr">
        <is>
          <t>júbù</t>
        </is>
      </c>
      <c r="D3511" s="0" t="inlineStr">
        <is>
          <t>整体中的一部分</t>
        </is>
      </c>
      <c r="E3511" s="0" t="inlineStr">
        <is>
          <t>cục bộ, một phần</t>
        </is>
      </c>
      <c r="F3511" s="0" t="inlineStr">
        <is>
          <t>这篇作文整体不错，只是局部的用词需要调整一下。</t>
        </is>
      </c>
      <c r="G3511" s="0" t="inlineStr"/>
      <c r="H3511" s="0" t="inlineStr"/>
    </row>
    <row r="3512">
      <c r="A3512" s="0" t="inlineStr">
        <is>
          <t>Bài 38</t>
        </is>
      </c>
      <c r="B3512" s="0" t="inlineStr">
        <is>
          <t>关照</t>
        </is>
      </c>
      <c r="C3512" s="0" t="inlineStr">
        <is>
          <t>guānzhào</t>
        </is>
      </c>
      <c r="D3512" s="0" t="inlineStr">
        <is>
          <t>关心、照顾</t>
        </is>
      </c>
      <c r="E3512" s="0" t="inlineStr">
        <is>
          <t>quan tâm, chiếu cố</t>
        </is>
      </c>
      <c r="F3512" s="0" t="inlineStr">
        <is>
          <t>谢谢老师这学期对我的关照，帮我改了不少作文。</t>
        </is>
      </c>
      <c r="G3512" s="0" t="inlineStr"/>
      <c r="H3512" s="0" t="inlineStr"/>
    </row>
    <row r="3513">
      <c r="A3513" s="0" t="inlineStr">
        <is>
          <t>Bài 38</t>
        </is>
      </c>
      <c r="B3513" s="0" t="inlineStr">
        <is>
          <t>观光</t>
        </is>
      </c>
      <c r="C3513" s="0" t="inlineStr">
        <is>
          <t>guānguāng</t>
        </is>
      </c>
      <c r="D3513" s="0" t="inlineStr">
        <is>
          <t>游览、参观风景名胜</t>
        </is>
      </c>
      <c r="E3513" s="0" t="inlineStr">
        <is>
          <t>tham quan, du lịch (ngắm cảnh)</t>
        </is>
      </c>
      <c r="F3513" s="0" t="inlineStr">
        <is>
          <t>考完HSK6，我打算去中国观光顺便练口语。</t>
        </is>
      </c>
      <c r="G3513" s="0" t="inlineStr"/>
      <c r="H3513" s="0" t="inlineStr"/>
    </row>
    <row r="3514">
      <c r="A3514" s="0" t="inlineStr">
        <is>
          <t>Bài 38</t>
        </is>
      </c>
      <c r="B3514" s="0" t="inlineStr">
        <is>
          <t>就近</t>
        </is>
      </c>
      <c r="C3514" s="0" t="inlineStr">
        <is>
          <t>jiùjìn</t>
        </is>
      </c>
      <c r="D3514" s="0" t="inlineStr">
        <is>
          <t>在附近，不去远处</t>
        </is>
      </c>
      <c r="E3514" s="0" t="inlineStr">
        <is>
          <t>gần đó, ngay gần</t>
        </is>
      </c>
      <c r="F3514" s="0" t="inlineStr">
        <is>
          <t>没时间去大书店的时候，我就就近在小卖部买本练习册。</t>
        </is>
      </c>
      <c r="G3514" s="0" t="inlineStr"/>
      <c r="H3514" s="0" t="inlineStr"/>
    </row>
    <row r="3515">
      <c r="A3515" s="0" t="inlineStr">
        <is>
          <t>Bài 38</t>
        </is>
      </c>
      <c r="B3515" s="0" t="inlineStr">
        <is>
          <t>肖像</t>
        </is>
      </c>
      <c r="C3515" s="0" t="inlineStr">
        <is>
          <t>xiàoxiàng</t>
        </is>
      </c>
      <c r="D3515" s="0" t="inlineStr">
        <is>
          <t>画的或照的人物形象</t>
        </is>
      </c>
      <c r="E3515" s="0" t="inlineStr">
        <is>
          <t>chân dung</t>
        </is>
      </c>
      <c r="F3515" s="0" t="inlineStr">
        <is>
          <t>美术课上，我照着课本上的肖像画了一幅老师的画像。</t>
        </is>
      </c>
      <c r="G3515" s="0" t="inlineStr"/>
      <c r="H3515" s="0" t="inlineStr"/>
    </row>
    <row r="3516">
      <c r="A3516" s="0" t="inlineStr">
        <is>
          <t>Bài 38</t>
        </is>
      </c>
      <c r="B3516" s="0" t="inlineStr">
        <is>
          <t>纺织</t>
        </is>
      </c>
      <c r="C3516" s="0" t="inlineStr">
        <is>
          <t>fǎngzhī</t>
        </is>
      </c>
      <c r="D3516" s="0" t="inlineStr">
        <is>
          <t>把纤维加工成纱、布</t>
        </is>
      </c>
      <c r="E3516" s="0" t="inlineStr">
        <is>
          <t>dệt (vải, sợi)</t>
        </is>
      </c>
      <c r="F3516" s="0" t="inlineStr">
        <is>
          <t>课文里提到的纺织厂，让我想起小时候奶奶在家纺线的样子。</t>
        </is>
      </c>
      <c r="G3516" s="0" t="inlineStr"/>
      <c r="H3516" s="0" t="inlineStr"/>
    </row>
    <row r="3517">
      <c r="A3517" s="0" t="inlineStr">
        <is>
          <t>Bài 38</t>
        </is>
      </c>
      <c r="B3517" s="0" t="inlineStr">
        <is>
          <t>留念</t>
        </is>
      </c>
      <c r="C3517" s="0" t="inlineStr">
        <is>
          <t>liúniàn</t>
        </is>
      </c>
      <c r="D3517" s="0" t="inlineStr">
        <is>
          <t>留下来作为纪念</t>
        </is>
      </c>
      <c r="E3517" s="0" t="inlineStr">
        <is>
          <t>lưu niệm, giữ làm kỷ niệm</t>
        </is>
      </c>
      <c r="F3517" s="0" t="inlineStr">
        <is>
          <t>结课那天，我和学生们拍照留念。</t>
        </is>
      </c>
      <c r="G3517" s="0" t="inlineStr"/>
      <c r="H3517" s="0" t="inlineStr"/>
    </row>
    <row r="3518">
      <c r="A3518" s="0" t="inlineStr">
        <is>
          <t>Bài 38</t>
        </is>
      </c>
      <c r="B3518" s="0" t="inlineStr">
        <is>
          <t>对照</t>
        </is>
      </c>
      <c r="C3518" s="0" t="inlineStr">
        <is>
          <t>duìzhào</t>
        </is>
      </c>
      <c r="D3518" s="0" t="inlineStr">
        <is>
          <t>放在一起比较</t>
        </is>
      </c>
      <c r="E3518" s="0" t="inlineStr">
        <is>
          <t>đối chiếu, so sánh</t>
        </is>
      </c>
      <c r="F3518" s="0" t="inlineStr">
        <is>
          <t>改作文的时候，我常把学生的原句和正确说法对照着看。</t>
        </is>
      </c>
      <c r="G3518" s="0" t="inlineStr"/>
      <c r="H3518" s="0" t="inlineStr"/>
    </row>
    <row r="3519">
      <c r="A3519" s="0" t="inlineStr">
        <is>
          <t>Bài 38</t>
        </is>
      </c>
      <c r="B3519" s="0" t="inlineStr">
        <is>
          <t>齐心协力</t>
        </is>
      </c>
      <c r="C3519" s="0" t="inlineStr">
        <is>
          <t>qíxīnxiélì</t>
        </is>
      </c>
      <c r="D3519" s="0" t="inlineStr">
        <is>
          <t>大家一条心，共同努力</t>
        </is>
      </c>
      <c r="E3519" s="0" t="inlineStr">
        <is>
          <t>đồng tâm hiệp lực</t>
        </is>
      </c>
      <c r="F3519" s="0" t="inlineStr">
        <is>
          <t>备考小组的同学齐心协力，互相分享资料，进步都很快。</t>
        </is>
      </c>
      <c r="G3519" s="0" t="inlineStr"/>
      <c r="H3519" s="0" t="inlineStr"/>
    </row>
    <row r="3520">
      <c r="A3520" s="0" t="inlineStr">
        <is>
          <t>Bài 38</t>
        </is>
      </c>
      <c r="B3520" s="0" t="inlineStr">
        <is>
          <t>专长</t>
        </is>
      </c>
      <c r="C3520" s="0" t="inlineStr">
        <is>
          <t>zhuāncháng</t>
        </is>
      </c>
      <c r="D3520" s="0" t="inlineStr">
        <is>
          <t>特别擅长的技能</t>
        </is>
      </c>
      <c r="E3520" s="0" t="inlineStr">
        <is>
          <t>sở trường, chuyên môn</t>
        </is>
      </c>
      <c r="F3520" s="0" t="inlineStr">
        <is>
          <t>我的专长是教发音，同事的专长是教写作，我们常互相请教。</t>
        </is>
      </c>
      <c r="G3520" s="0" t="inlineStr"/>
      <c r="H3520" s="0" t="inlineStr"/>
    </row>
    <row r="3521">
      <c r="A3521" s="0" t="inlineStr">
        <is>
          <t>Bài 38</t>
        </is>
      </c>
      <c r="B3521" s="0" t="inlineStr">
        <is>
          <t>资本</t>
        </is>
      </c>
      <c r="C3521" s="0" t="inlineStr">
        <is>
          <t>zīběn</t>
        </is>
      </c>
      <c r="D3521" s="0" t="inlineStr">
        <is>
          <t>做事业用的钱或条件</t>
        </is>
      </c>
      <c r="E3521" s="0" t="inlineStr">
        <is>
          <t>vốn (tiền, điều kiện)</t>
        </is>
      </c>
      <c r="F3521" s="0" t="inlineStr">
        <is>
          <t>耐心和坚持，是我学中文这几年最大的资本。</t>
        </is>
      </c>
      <c r="G3521" s="0" t="inlineStr"/>
      <c r="H3521" s="0" t="inlineStr"/>
    </row>
    <row r="3522">
      <c r="A3522" s="0" t="inlineStr">
        <is>
          <t>Bài 38</t>
        </is>
      </c>
      <c r="B3522" s="0" t="inlineStr">
        <is>
          <t>以往</t>
        </is>
      </c>
      <c r="C3522" s="0" t="inlineStr">
        <is>
          <t>yǐwǎng</t>
        </is>
      </c>
      <c r="D3522" s="0" t="inlineStr">
        <is>
          <t>过去，从前</t>
        </is>
      </c>
      <c r="E3522" s="0" t="inlineStr">
        <is>
          <t>trước đây, trước kia</t>
        </is>
      </c>
      <c r="F3522" s="0" t="inlineStr">
        <is>
          <t>跟以往相比，我现在读HSK6课文顺多了。</t>
        </is>
      </c>
      <c r="G3522" s="0" t="inlineStr"/>
      <c r="H3522" s="0" t="inlineStr"/>
    </row>
    <row r="3523">
      <c r="A3523" s="0" t="inlineStr">
        <is>
          <t>Bài 38</t>
        </is>
      </c>
      <c r="B3523" s="0" t="inlineStr">
        <is>
          <t>淡季</t>
        </is>
      </c>
      <c r="C3523" s="0" t="inlineStr">
        <is>
          <t>dànjì</t>
        </is>
      </c>
      <c r="D3523" s="0" t="inlineStr">
        <is>
          <t>生意不好、需求少的季节</t>
        </is>
      </c>
      <c r="E3523" s="0" t="inlineStr">
        <is>
          <t>mùa thấp điểm, mùa ế ẩm</t>
        </is>
      </c>
      <c r="F3523" s="0" t="inlineStr">
        <is>
          <t>暑假是培训中心的旺季，寒假前反而是淡季。</t>
        </is>
      </c>
      <c r="G3523" s="0" t="inlineStr"/>
      <c r="H3523" s="0" t="inlineStr"/>
    </row>
    <row r="3524">
      <c r="A3524" s="0" t="inlineStr">
        <is>
          <t>Bài 38</t>
        </is>
      </c>
      <c r="B3524" s="0" t="inlineStr">
        <is>
          <t>制服</t>
        </is>
      </c>
      <c r="C3524" s="0" t="inlineStr">
        <is>
          <t>zhìfú</t>
        </is>
      </c>
      <c r="D3524" s="0" t="inlineStr">
        <is>
          <t>规定统一穿的衣服</t>
        </is>
      </c>
      <c r="E3524" s="0" t="inlineStr">
        <is>
          <t>đồng phục</t>
        </is>
      </c>
      <c r="F3524" s="0" t="inlineStr">
        <is>
          <t>以前上学的时候，我们每天都要穿校服制服。</t>
        </is>
      </c>
      <c r="G3524" s="0" t="inlineStr"/>
      <c r="H3524" s="0" t="inlineStr"/>
    </row>
    <row r="3525">
      <c r="A3525" s="0" t="inlineStr">
        <is>
          <t>Bài 38</t>
        </is>
      </c>
      <c r="B3525" s="0" t="inlineStr">
        <is>
          <t>规格</t>
        </is>
      </c>
      <c r="C3525" s="0" t="inlineStr">
        <is>
          <t>guīgé</t>
        </is>
      </c>
      <c r="D3525" s="0" t="inlineStr">
        <is>
          <t>规定的标准、样式</t>
        </is>
      </c>
      <c r="E3525" s="0" t="inlineStr">
        <is>
          <t>quy cách, tiêu chuẩn</t>
        </is>
      </c>
      <c r="F3525" s="0" t="inlineStr">
        <is>
          <t>写HSK6作文要按照规定的字数规格来写，不能太短。</t>
        </is>
      </c>
      <c r="G3525" s="0" t="inlineStr"/>
      <c r="H3525" s="0" t="inlineStr"/>
    </row>
    <row r="3526">
      <c r="A3526" s="0" t="inlineStr">
        <is>
          <t>Bài 38</t>
        </is>
      </c>
      <c r="B3526" s="0" t="inlineStr">
        <is>
          <t>递增</t>
        </is>
      </c>
      <c r="C3526" s="0" t="inlineStr">
        <is>
          <t>dìzēng</t>
        </is>
      </c>
      <c r="D3526" s="0" t="inlineStr">
        <is>
          <t>一点一点地增加</t>
        </is>
      </c>
      <c r="E3526" s="0" t="inlineStr">
        <is>
          <t>tăng dần</t>
        </is>
      </c>
      <c r="F3526" s="0" t="inlineStr">
        <is>
          <t>这几个月我的听写正确率在递增，进步挺明显的。</t>
        </is>
      </c>
      <c r="G3526" s="0" t="inlineStr"/>
      <c r="H3526" s="0" t="inlineStr"/>
    </row>
    <row r="3527">
      <c r="A3527" s="0" t="inlineStr">
        <is>
          <t>Bài 38</t>
        </is>
      </c>
      <c r="B3527" s="0" t="inlineStr">
        <is>
          <t>周期</t>
        </is>
      </c>
      <c r="C3527" s="0" t="inlineStr">
        <is>
          <t>zhōuqī</t>
        </is>
      </c>
      <c r="D3527" s="0" t="inlineStr">
        <is>
          <t>事情重复出现的一个时间段</t>
        </is>
      </c>
      <c r="E3527" s="0" t="inlineStr">
        <is>
          <t>chu kỳ</t>
        </is>
      </c>
      <c r="F3527" s="0" t="inlineStr">
        <is>
          <t>我把复习安排成两周一个周期，方便检查自己的进度。</t>
        </is>
      </c>
      <c r="G3527" s="0" t="inlineStr"/>
      <c r="H3527" s="0" t="inlineStr"/>
    </row>
    <row r="3528">
      <c r="A3528" s="0" t="inlineStr">
        <is>
          <t>Bài 38</t>
        </is>
      </c>
      <c r="B3528" s="0" t="inlineStr">
        <is>
          <t>赌博</t>
        </is>
      </c>
      <c r="C3528" s="0" t="inlineStr">
        <is>
          <t>dǔbó</t>
        </is>
      </c>
      <c r="D3528" s="0" t="inlineStr">
        <is>
          <t>用钱做输赢的游戏</t>
        </is>
      </c>
      <c r="E3528" s="0" t="inlineStr">
        <is>
          <t>cờ bạc, đánh bạc</t>
        </is>
      </c>
      <c r="F3528" s="0" t="inlineStr">
        <is>
          <t>课文里说创业不是赌博，我觉得学语言也是，急不来。</t>
        </is>
      </c>
      <c r="G3528" s="0" t="inlineStr"/>
      <c r="H3528" s="0" t="inlineStr"/>
    </row>
    <row r="3529">
      <c r="A3529" s="0" t="inlineStr">
        <is>
          <t>Bài 38</t>
        </is>
      </c>
      <c r="B3529" s="0" t="inlineStr">
        <is>
          <t>空想</t>
        </is>
      </c>
      <c r="C3529" s="0" t="inlineStr">
        <is>
          <t>kōngxiǎng</t>
        </is>
      </c>
      <c r="D3529" s="0" t="inlineStr">
        <is>
          <t>不切实际地瞎想，不付诸行动</t>
        </is>
      </c>
      <c r="E3529" s="0" t="inlineStr">
        <is>
          <t>viển vông, tưởng tượng suông</t>
        </is>
      </c>
      <c r="F3529" s="0" t="inlineStr">
        <is>
          <t>光空想自己中文变流利没有用，还是得每天开口练习。</t>
        </is>
      </c>
      <c r="G3529" s="0" t="inlineStr"/>
      <c r="H3529" s="0" t="inlineStr"/>
    </row>
    <row r="3530">
      <c r="A3530" s="0" t="inlineStr">
        <is>
          <t>Bài 39</t>
        </is>
      </c>
      <c r="B3530" s="0" t="inlineStr">
        <is>
          <t>日新月异</t>
        </is>
      </c>
      <c r="C3530" s="0" t="inlineStr">
        <is>
          <t>rìxīnyuèyì</t>
        </is>
      </c>
      <c r="D3530" s="0" t="inlineStr">
        <is>
          <t>变化非常快，天天都有新的样子</t>
        </is>
      </c>
      <c r="E3530" s="0" t="inlineStr">
        <is>
          <t>thay đổi từng ngày, đổi mới không ngừng</t>
        </is>
      </c>
      <c r="F3530" s="0" t="inlineStr">
        <is>
          <t>这几年翻译软件的发展真是日新月异，学中文方便多了。</t>
        </is>
      </c>
      <c r="G3530" s="0" t="inlineStr"/>
      <c r="H3530" s="0" t="inlineStr"/>
    </row>
    <row r="3531">
      <c r="A3531" s="0" t="inlineStr">
        <is>
          <t>Bài 39</t>
        </is>
      </c>
      <c r="B3531" s="0" t="inlineStr">
        <is>
          <t>沉闷</t>
        </is>
      </c>
      <c r="C3531" s="0" t="inlineStr">
        <is>
          <t>chénmèn</t>
        </is>
      </c>
      <c r="D3531" s="0" t="inlineStr">
        <is>
          <t>心情不舒畅，气氛不活跃</t>
        </is>
      </c>
      <c r="E3531" s="0" t="inlineStr">
        <is>
          <t>u ám, nặng nề, ngột ngạt (tâm trạng, không khí)</t>
        </is>
      </c>
      <c r="F3531" s="0" t="inlineStr">
        <is>
          <t>考砸了那天，我一整天心情都很沉闷。</t>
        </is>
      </c>
      <c r="G3531" s="0" t="inlineStr"/>
      <c r="H3531" s="0" t="inlineStr"/>
    </row>
    <row r="3532">
      <c r="A3532" s="0" t="inlineStr">
        <is>
          <t>Bài 39</t>
        </is>
      </c>
      <c r="B3532" s="0" t="inlineStr">
        <is>
          <t>充实</t>
        </is>
      </c>
      <c r="C3532" s="0" t="inlineStr">
        <is>
          <t>chōngshí</t>
        </is>
      </c>
      <c r="D3532" s="0" t="inlineStr">
        <is>
          <t>内容丰富，过得很满足</t>
        </is>
      </c>
      <c r="E3532" s="0" t="inlineStr">
        <is>
          <t>sung túc, đầy đủ, ý nghĩa (cuộc sống)</t>
        </is>
      </c>
      <c r="F3532" s="0" t="inlineStr">
        <is>
          <t>每天学习加教课，虽然忙，但过得很充实。</t>
        </is>
      </c>
      <c r="G3532" s="0" t="inlineStr"/>
      <c r="H3532" s="0" t="inlineStr"/>
    </row>
    <row r="3533">
      <c r="A3533" s="0" t="inlineStr">
        <is>
          <t>Bài 39</t>
        </is>
      </c>
      <c r="B3533" s="0" t="inlineStr">
        <is>
          <t>交易</t>
        </is>
      </c>
      <c r="C3533" s="0" t="inlineStr">
        <is>
          <t>jiāoyì</t>
        </is>
      </c>
      <c r="D3533" s="0" t="inlineStr">
        <is>
          <t>买卖，双方进行商品或利益交换</t>
        </is>
      </c>
      <c r="E3533" s="0" t="inlineStr">
        <is>
          <t>giao dịch, mua bán</t>
        </is>
      </c>
      <c r="F3533" s="0" t="inlineStr">
        <is>
          <t>我在网上跟卖家交易的时候，会先确认好价格再付款。</t>
        </is>
      </c>
      <c r="G3533" s="0" t="inlineStr"/>
      <c r="H3533" s="0" t="inlineStr"/>
    </row>
    <row r="3534">
      <c r="A3534" s="0" t="inlineStr">
        <is>
          <t>Bài 39</t>
        </is>
      </c>
      <c r="B3534" s="0" t="inlineStr">
        <is>
          <t>任意</t>
        </is>
      </c>
      <c r="C3534" s="0" t="inlineStr">
        <is>
          <t>rènyì</t>
        </is>
      </c>
      <c r="D3534" s="0" t="inlineStr">
        <is>
          <t>想怎样就怎样，不受限制</t>
        </is>
      </c>
      <c r="E3534" s="0" t="inlineStr">
        <is>
          <t>tùy ý, tự do (không giới hạn)</t>
        </is>
      </c>
      <c r="F3534" s="0" t="inlineStr">
        <is>
          <t>这个练习可以任意选一篇课文来复述。</t>
        </is>
      </c>
      <c r="G3534" s="0" t="inlineStr"/>
      <c r="H3534" s="0" t="inlineStr"/>
    </row>
    <row r="3535">
      <c r="A3535" s="0" t="inlineStr">
        <is>
          <t>Bài 39</t>
        </is>
      </c>
      <c r="B3535" s="0" t="inlineStr">
        <is>
          <t>乐趣</t>
        </is>
      </c>
      <c r="C3535" s="0" t="inlineStr">
        <is>
          <t>lèqù</t>
        </is>
      </c>
      <c r="D3535" s="0" t="inlineStr">
        <is>
          <t>使人感到快乐的趣味</t>
        </is>
      </c>
      <c r="E3535" s="0" t="inlineStr">
        <is>
          <t>niềm vui, thú vui</t>
        </is>
      </c>
      <c r="F3535" s="0" t="inlineStr">
        <is>
          <t>教会学生一个新句型，是我教课最大的乐趣。</t>
        </is>
      </c>
      <c r="G3535" s="0" t="inlineStr"/>
      <c r="H3535" s="0" t="inlineStr"/>
    </row>
    <row r="3536">
      <c r="A3536" s="0" t="inlineStr">
        <is>
          <t>Bài 39</t>
        </is>
      </c>
      <c r="B3536" s="0" t="inlineStr">
        <is>
          <t>设立</t>
        </is>
      </c>
      <c r="C3536" s="0" t="inlineStr">
        <is>
          <t>shèlì</t>
        </is>
      </c>
      <c r="D3536" s="0" t="inlineStr">
        <is>
          <t>建立、成立（机构、组织等）</t>
        </is>
      </c>
      <c r="E3536" s="0" t="inlineStr">
        <is>
          <t>thành lập, thiết lập</t>
        </is>
      </c>
      <c r="F3536" s="0" t="inlineStr">
        <is>
          <t>中心打算设立一个免费的口语角，给学生多练习机会。</t>
        </is>
      </c>
      <c r="G3536" s="0" t="inlineStr"/>
      <c r="H3536" s="0" t="inlineStr"/>
    </row>
    <row r="3537">
      <c r="A3537" s="0" t="inlineStr">
        <is>
          <t>Bài 39</t>
        </is>
      </c>
      <c r="B3537" s="0" t="inlineStr">
        <is>
          <t>虚荣</t>
        </is>
      </c>
      <c r="C3537" s="0" t="inlineStr">
        <is>
          <t>xūróng</t>
        </is>
      </c>
      <c r="D3537" s="0" t="inlineStr">
        <is>
          <t>表面上的光彩，爱面子</t>
        </is>
      </c>
      <c r="E3537" s="0" t="inlineStr">
        <is>
          <t>hư vinh, sĩ diện</t>
        </is>
      </c>
      <c r="F3537" s="0" t="inlineStr">
        <is>
          <t>买东西别只为了满足虚荣心，实用才最重要。</t>
        </is>
      </c>
      <c r="G3537" s="0" t="inlineStr"/>
      <c r="H3537" s="0" t="inlineStr"/>
    </row>
    <row r="3538">
      <c r="A3538" s="0" t="inlineStr">
        <is>
          <t>Bài 39</t>
        </is>
      </c>
      <c r="B3538" s="0" t="inlineStr">
        <is>
          <t>珍贵</t>
        </is>
      </c>
      <c r="C3538" s="0" t="inlineStr">
        <is>
          <t>zhēnguì</t>
        </is>
      </c>
      <c r="D3538" s="0" t="inlineStr">
        <is>
          <t>很宝贵，值得珍惜</t>
        </is>
      </c>
      <c r="E3538" s="0" t="inlineStr">
        <is>
          <t>quý giá, đáng trân trọng</t>
        </is>
      </c>
      <c r="F3538" s="0" t="inlineStr">
        <is>
          <t>学生毕业时送我的贺卡，是我最珍贵的纪念品。</t>
        </is>
      </c>
      <c r="G3538" s="0" t="inlineStr"/>
      <c r="H3538" s="0" t="inlineStr"/>
    </row>
    <row r="3539">
      <c r="A3539" s="0" t="inlineStr">
        <is>
          <t>Bài 39</t>
        </is>
      </c>
      <c r="B3539" s="0" t="inlineStr">
        <is>
          <t>合伙</t>
        </is>
      </c>
      <c r="C3539" s="0" t="inlineStr">
        <is>
          <t>héhuǒ</t>
        </is>
      </c>
      <c r="D3539" s="0" t="inlineStr">
        <is>
          <t>跟别人一起做（生意等）</t>
        </is>
      </c>
      <c r="E3539" s="0" t="inlineStr">
        <is>
          <t>hợp tác, cùng góp vốn làm ăn</t>
        </is>
      </c>
      <c r="F3539" s="0" t="inlineStr">
        <is>
          <t>我和另一位老师合伙开了一个线上中文角。</t>
        </is>
      </c>
      <c r="G3539" s="0" t="inlineStr"/>
      <c r="H3539" s="0" t="inlineStr"/>
    </row>
    <row r="3540">
      <c r="A3540" s="0" t="inlineStr">
        <is>
          <t>Bài 39</t>
        </is>
      </c>
      <c r="B3540" s="0" t="inlineStr">
        <is>
          <t>筹备</t>
        </is>
      </c>
      <c r="C3540" s="0" t="inlineStr">
        <is>
          <t>chóubèi</t>
        </is>
      </c>
      <c r="D3540" s="0" t="inlineStr">
        <is>
          <t>为某件事提前准备</t>
        </is>
      </c>
      <c r="E3540" s="0" t="inlineStr">
        <is>
          <t>chuẩn bị, trù bị</t>
        </is>
      </c>
      <c r="F3540" s="0" t="inlineStr">
        <is>
          <t>为了这次期末考试，我提前一个月就开始筹备复习资料。</t>
        </is>
      </c>
      <c r="G3540" s="0" t="inlineStr"/>
      <c r="H3540" s="0" t="inlineStr"/>
    </row>
    <row r="3541">
      <c r="A3541" s="0" t="inlineStr">
        <is>
          <t>Bài 39</t>
        </is>
      </c>
      <c r="B3541" s="0" t="inlineStr">
        <is>
          <t>成员</t>
        </is>
      </c>
      <c r="C3541" s="0" t="inlineStr">
        <is>
          <t>chéngyuán</t>
        </is>
      </c>
      <c r="D3541" s="0" t="inlineStr">
        <is>
          <t>一个组织、团体里的人</t>
        </is>
      </c>
      <c r="E3541" s="0" t="inlineStr">
        <is>
          <t>thành viên</t>
        </is>
      </c>
      <c r="F3541" s="0" t="inlineStr">
        <is>
          <t>我是学习小组里唯一一个非中文专业出身的成员。</t>
        </is>
      </c>
      <c r="G3541" s="0" t="inlineStr"/>
      <c r="H3541" s="0" t="inlineStr"/>
    </row>
    <row r="3542">
      <c r="A3542" s="0" t="inlineStr">
        <is>
          <t>Bài 39</t>
        </is>
      </c>
      <c r="B3542" s="0" t="inlineStr">
        <is>
          <t>初步</t>
        </is>
      </c>
      <c r="C3542" s="0" t="inlineStr">
        <is>
          <t>chūbù</t>
        </is>
      </c>
      <c r="D3542" s="0" t="inlineStr">
        <is>
          <t>刚开始阶段的，还不完全</t>
        </is>
      </c>
      <c r="E3542" s="0" t="inlineStr">
        <is>
          <t>bước đầu, sơ bộ</t>
        </is>
      </c>
      <c r="F3542" s="0" t="inlineStr">
        <is>
          <t>我对这次作文题目已经有了初步的想法。</t>
        </is>
      </c>
      <c r="G3542" s="0" t="inlineStr"/>
      <c r="H3542" s="0" t="inlineStr"/>
    </row>
    <row r="3543">
      <c r="A3543" s="0" t="inlineStr">
        <is>
          <t>Bài 39</t>
        </is>
      </c>
      <c r="B3543" s="0" t="inlineStr">
        <is>
          <t>合算</t>
        </is>
      </c>
      <c r="C3543" s="0" t="inlineStr">
        <is>
          <t>hésuàn</t>
        </is>
      </c>
      <c r="D3543" s="0" t="inlineStr">
        <is>
          <t>花的代价小，收获大，划算</t>
        </is>
      </c>
      <c r="E3543" s="0" t="inlineStr">
        <is>
          <t>đáng, hời (về mặt lợi ích/chi phí)</t>
        </is>
      </c>
      <c r="F3543" s="0" t="inlineStr">
        <is>
          <t>报名年卡比每次单独买课划算，我觉得挺合算的。</t>
        </is>
      </c>
      <c r="G3543" s="0" t="inlineStr"/>
      <c r="H3543" s="0" t="inlineStr"/>
    </row>
    <row r="3544">
      <c r="A3544" s="0" t="inlineStr">
        <is>
          <t>Bài 39</t>
        </is>
      </c>
      <c r="B3544" s="0" t="inlineStr">
        <is>
          <t>渠道</t>
        </is>
      </c>
      <c r="C3544" s="0" t="inlineStr">
        <is>
          <t>qúdào</t>
        </is>
      </c>
      <c r="D3544" s="0" t="inlineStr">
        <is>
          <t>获得信息或资源的途径</t>
        </is>
      </c>
      <c r="E3544" s="0" t="inlineStr">
        <is>
          <t>kênh, con đường (thông tin, tiếp cận)</t>
        </is>
      </c>
      <c r="F3544" s="0" t="inlineStr">
        <is>
          <t>我学中文的渠道除了课本，还有播客和短视频。</t>
        </is>
      </c>
      <c r="G3544" s="0" t="inlineStr"/>
      <c r="H3544" s="0" t="inlineStr"/>
    </row>
    <row r="3545">
      <c r="A3545" s="0" t="inlineStr">
        <is>
          <t>Bài 39</t>
        </is>
      </c>
      <c r="B3545" s="0" t="inlineStr">
        <is>
          <t>审查</t>
        </is>
      </c>
      <c r="C3545" s="0" t="inlineStr">
        <is>
          <t>shěnchá</t>
        </is>
      </c>
      <c r="D3545" s="0" t="inlineStr">
        <is>
          <t>检查、核实是否合格、正确</t>
        </is>
      </c>
      <c r="E3545" s="0" t="inlineStr">
        <is>
          <t>thẩm tra, kiểm duyệt</t>
        </is>
      </c>
      <c r="F3545" s="0" t="inlineStr">
        <is>
          <t>交作文前，我都会自己审查一遍语法有没有错。</t>
        </is>
      </c>
      <c r="G3545" s="0" t="inlineStr"/>
      <c r="H3545" s="0" t="inlineStr"/>
    </row>
    <row r="3546">
      <c r="A3546" s="0" t="inlineStr">
        <is>
          <t>Bài 39</t>
        </is>
      </c>
      <c r="B3546" s="0" t="inlineStr">
        <is>
          <t>缴纳</t>
        </is>
      </c>
      <c r="C3546" s="0" t="inlineStr">
        <is>
          <t>jiǎonà</t>
        </is>
      </c>
      <c r="D3546" s="0" t="inlineStr">
        <is>
          <t>按规定交付（钱款）</t>
        </is>
      </c>
      <c r="E3546" s="0" t="inlineStr">
        <is>
          <t>nộp, đóng (tiền, thuế theo quy định)</t>
        </is>
      </c>
      <c r="F3546" s="0" t="inlineStr">
        <is>
          <t>报名HSK6考试要先缴纳考试费才能确认名额。</t>
        </is>
      </c>
      <c r="G3546" s="0" t="inlineStr"/>
      <c r="H3546" s="0" t="inlineStr"/>
    </row>
    <row r="3547">
      <c r="A3547" s="0" t="inlineStr">
        <is>
          <t>Bài 39</t>
        </is>
      </c>
      <c r="B3547" s="0" t="inlineStr">
        <is>
          <t>摸索</t>
        </is>
      </c>
      <c r="C3547" s="0" t="inlineStr">
        <is>
          <t>mōsuǒ</t>
        </is>
      </c>
      <c r="D3547" s="0" t="inlineStr">
        <is>
          <t>在不清楚的情况下试着寻找方法</t>
        </is>
      </c>
      <c r="E3547" s="0" t="inlineStr">
        <is>
          <t>dò dẫm, mày mò (tìm phương pháp)</t>
        </is>
      </c>
      <c r="F3547" s="0" t="inlineStr">
        <is>
          <t>刚开始教HSK1的时候，我也是慢慢摸索出适合学生的教法。</t>
        </is>
      </c>
      <c r="G3547" s="0" t="inlineStr"/>
      <c r="H3547" s="0" t="inlineStr"/>
    </row>
    <row r="3548">
      <c r="A3548" s="0" t="inlineStr">
        <is>
          <t>Bài 39</t>
        </is>
      </c>
      <c r="B3548" s="0" t="inlineStr">
        <is>
          <t>层次</t>
        </is>
      </c>
      <c r="C3548" s="0" t="inlineStr">
        <is>
          <t>céngcì</t>
        </is>
      </c>
      <c r="D3548" s="0" t="inlineStr">
        <is>
          <t>事物的先后顺序或高低等级</t>
        </is>
      </c>
      <c r="E3548" s="0" t="inlineStr">
        <is>
          <t>tầng bậc, thứ tự, cấp độ</t>
        </is>
      </c>
      <c r="F3548" s="0" t="inlineStr">
        <is>
          <t>写作文要注意层次分明，别把想法都堆在一段里。</t>
        </is>
      </c>
      <c r="G3548" s="0" t="inlineStr"/>
      <c r="H3548" s="0" t="inlineStr"/>
    </row>
    <row r="3549">
      <c r="A3549" s="0" t="inlineStr">
        <is>
          <t>Bài 39</t>
        </is>
      </c>
      <c r="B3549" s="0" t="inlineStr">
        <is>
          <t>阶层</t>
        </is>
      </c>
      <c r="C3549" s="0" t="inlineStr">
        <is>
          <t>jiēcéng</t>
        </is>
      </c>
      <c r="D3549" s="0" t="inlineStr">
        <is>
          <t>社会中地位、职业相近的一类人</t>
        </is>
      </c>
      <c r="E3549" s="0" t="inlineStr">
        <is>
          <t>tầng lớp (xã hội)</t>
        </is>
      </c>
      <c r="F3549" s="0" t="inlineStr">
        <is>
          <t>这篇阅读讲的是不同阶层的人对教育的看法。</t>
        </is>
      </c>
      <c r="G3549" s="0" t="inlineStr"/>
      <c r="H3549" s="0" t="inlineStr"/>
    </row>
    <row r="3550">
      <c r="A3550" s="0" t="inlineStr">
        <is>
          <t>Bài 39</t>
        </is>
      </c>
      <c r="B3550" s="0" t="inlineStr">
        <is>
          <t>政策</t>
        </is>
      </c>
      <c r="C3550" s="0" t="inlineStr">
        <is>
          <t>zhèngcè</t>
        </is>
      </c>
      <c r="D3550" s="0" t="inlineStr">
        <is>
          <t>国家或机构制定的行动方针</t>
        </is>
      </c>
      <c r="E3550" s="0" t="inlineStr">
        <is>
          <t>chính sách</t>
        </is>
      </c>
      <c r="F3550" s="0" t="inlineStr">
        <is>
          <t>了解一点中国的教育政策，对我理解课文很有帮助。</t>
        </is>
      </c>
      <c r="G3550" s="0" t="inlineStr"/>
      <c r="H3550" s="0" t="inlineStr"/>
    </row>
    <row r="3551">
      <c r="A3551" s="0" t="inlineStr">
        <is>
          <t>Bài 39</t>
        </is>
      </c>
      <c r="B3551" s="0" t="inlineStr">
        <is>
          <t>欢乐</t>
        </is>
      </c>
      <c r="C3551" s="0" t="inlineStr">
        <is>
          <t>huānlè</t>
        </is>
      </c>
      <c r="D3551" s="0" t="inlineStr">
        <is>
          <t>高兴，快乐</t>
        </is>
      </c>
      <c r="E3551" s="0" t="inlineStr">
        <is>
          <t>vui vẻ, hân hoan</t>
        </is>
      </c>
      <c r="F3551" s="0" t="inlineStr">
        <is>
          <t>过年那几天，中国朋友家里都是欢乐的气氛。</t>
        </is>
      </c>
      <c r="G3551" s="0" t="inlineStr"/>
      <c r="H3551" s="0" t="inlineStr"/>
    </row>
    <row r="3552">
      <c r="A3552" s="0" t="inlineStr">
        <is>
          <t>Bài 39</t>
        </is>
      </c>
      <c r="B3552" s="0" t="inlineStr">
        <is>
          <t>上瘾</t>
        </is>
      </c>
      <c r="C3552" s="0" t="inlineStr">
        <is>
          <t>shàngyǐn</t>
        </is>
      </c>
      <c r="D3552" s="0" t="inlineStr">
        <is>
          <t>对某事产生依赖，离不开</t>
        </is>
      </c>
      <c r="E3552" s="0" t="inlineStr">
        <is>
          <t>nghiện, ghiền</t>
        </is>
      </c>
      <c r="F3552" s="0" t="inlineStr">
        <is>
          <t>自从开始用中文软件打卡，我已经对每天签到上瘾了。</t>
        </is>
      </c>
      <c r="G3552" s="0" t="inlineStr"/>
      <c r="H3552" s="0" t="inlineStr"/>
    </row>
    <row r="3553">
      <c r="A3553" s="0" t="inlineStr">
        <is>
          <t>Bài 39</t>
        </is>
      </c>
      <c r="B3553" s="0" t="inlineStr">
        <is>
          <t>慈善</t>
        </is>
      </c>
      <c r="C3553" s="0" t="inlineStr">
        <is>
          <t>císhàn</t>
        </is>
      </c>
      <c r="D3553" s="0" t="inlineStr">
        <is>
          <t>有同情心，愿意帮助别人（多指公益）</t>
        </is>
      </c>
      <c r="E3553" s="0" t="inlineStr">
        <is>
          <t>từ thiện</t>
        </is>
      </c>
      <c r="F3553" s="0" t="inlineStr">
        <is>
          <t>学校组织了一次慈善义卖，学生们捐了不少旧书。</t>
        </is>
      </c>
      <c r="G3553" s="0" t="inlineStr"/>
      <c r="H3553" s="0" t="inlineStr"/>
    </row>
    <row r="3554">
      <c r="A3554" s="0" t="inlineStr">
        <is>
          <t>Bài 39</t>
        </is>
      </c>
      <c r="B3554" s="0" t="inlineStr">
        <is>
          <t>股份</t>
        </is>
      </c>
      <c r="C3554" s="0" t="inlineStr">
        <is>
          <t>gǔfèn</t>
        </is>
      </c>
      <c r="D3554" s="0" t="inlineStr">
        <is>
          <t>公司资本中平均分成的份额</t>
        </is>
      </c>
      <c r="E3554" s="0" t="inlineStr">
        <is>
          <t>cổ phần</t>
        </is>
      </c>
      <c r="F3554" s="0" t="inlineStr">
        <is>
          <t>这篇课文讲的是有人靠卖公司股份筹到了创业资金。</t>
        </is>
      </c>
      <c r="G3554" s="0" t="inlineStr"/>
      <c r="H3554" s="0" t="inlineStr"/>
    </row>
    <row r="3555">
      <c r="A3555" s="0" t="inlineStr">
        <is>
          <t>Bài 39</t>
        </is>
      </c>
      <c r="B3555" s="0" t="inlineStr">
        <is>
          <t>股东</t>
        </is>
      </c>
      <c r="C3555" s="0" t="inlineStr">
        <is>
          <t>gǔdōng</t>
        </is>
      </c>
      <c r="D3555" s="0" t="inlineStr">
        <is>
          <t>拥有公司股份的人</t>
        </is>
      </c>
      <c r="E3555" s="0" t="inlineStr">
        <is>
          <t>cổ đông</t>
        </is>
      </c>
      <c r="F3555" s="0" t="inlineStr">
        <is>
          <t>小时候看电视剧，我一直搞不清楚股东和员工有什么区别。</t>
        </is>
      </c>
      <c r="G3555" s="0" t="inlineStr"/>
      <c r="H3555" s="0" t="inlineStr"/>
    </row>
    <row r="3556">
      <c r="A3556" s="0" t="inlineStr">
        <is>
          <t>Bài 39</t>
        </is>
      </c>
      <c r="B3556" s="0" t="inlineStr">
        <is>
          <t>钞票</t>
        </is>
      </c>
      <c r="C3556" s="0" t="inlineStr">
        <is>
          <t>chāopiào</t>
        </is>
      </c>
      <c r="D3556" s="0" t="inlineStr">
        <is>
          <t>纸币，钱</t>
        </is>
      </c>
      <c r="E3556" s="0" t="inlineStr">
        <is>
          <t>tiền giấy, tiền</t>
        </is>
      </c>
      <c r="F3556" s="0" t="inlineStr">
        <is>
          <t>去中国之前，我特意换了一些钞票，方便应急用。</t>
        </is>
      </c>
      <c r="G3556" s="0" t="inlineStr"/>
      <c r="H3556" s="0" t="inlineStr"/>
    </row>
    <row r="3557">
      <c r="A3557" s="0" t="inlineStr">
        <is>
          <t>Bài 39</t>
        </is>
      </c>
      <c r="B3557" s="0" t="inlineStr">
        <is>
          <t>苦尽甘来</t>
        </is>
      </c>
      <c r="C3557" s="0" t="inlineStr">
        <is>
          <t>kǔjìngānlái</t>
        </is>
      </c>
      <c r="D3557" s="0" t="inlineStr">
        <is>
          <t>苦日子过去，好日子到来了</t>
        </is>
      </c>
      <c r="E3557" s="0" t="inlineStr">
        <is>
          <t>khổ tận cam lai, hết khổ đến sướng</t>
        </is>
      </c>
      <c r="F3557" s="0" t="inlineStr">
        <is>
          <t>备考三个月终于通过HSK6，那一刻真是苦尽甘来的感觉。</t>
        </is>
      </c>
      <c r="G3557" s="0" t="inlineStr"/>
      <c r="H3557" s="0" t="inlineStr"/>
    </row>
    <row r="3558">
      <c r="A3558" s="0" t="inlineStr">
        <is>
          <t>Bài 39</t>
        </is>
      </c>
      <c r="B3558" s="0" t="inlineStr">
        <is>
          <t>尴尬</t>
        </is>
      </c>
      <c r="C3558" s="0" t="inlineStr">
        <is>
          <t>gāngà</t>
        </is>
      </c>
      <c r="D3558" s="0" t="inlineStr">
        <is>
          <t>处境或心情不自然，难为情</t>
        </is>
      </c>
      <c r="E3558" s="0" t="inlineStr">
        <is>
          <t>ngượng ngùng, khó xử</t>
        </is>
      </c>
      <c r="F3558" s="0" t="inlineStr">
        <is>
          <t>上课时说错一个声调，被学生笑了，我有点尴尬。</t>
        </is>
      </c>
      <c r="G3558" s="0" t="inlineStr"/>
      <c r="H3558" s="0" t="inlineStr"/>
    </row>
    <row r="3559">
      <c r="A3559" s="0" t="inlineStr">
        <is>
          <t>Bài 39</t>
        </is>
      </c>
      <c r="B3559" s="0" t="inlineStr">
        <is>
          <t>抛弃</t>
        </is>
      </c>
      <c r="C3559" s="0" t="inlineStr">
        <is>
          <t>pāoqì</t>
        </is>
      </c>
      <c r="D3559" s="0" t="inlineStr">
        <is>
          <t>丢掉、舍弃不要</t>
        </is>
      </c>
      <c r="E3559" s="0" t="inlineStr">
        <is>
          <t>vứt bỏ, từ bỏ</t>
        </is>
      </c>
      <c r="F3559" s="0" t="inlineStr">
        <is>
          <t>我早就抛弃了死记硬背的老方法，改用场景记忆。</t>
        </is>
      </c>
      <c r="G3559" s="0" t="inlineStr"/>
      <c r="H3559" s="0" t="inlineStr"/>
    </row>
    <row r="3560">
      <c r="A3560" s="0" t="inlineStr">
        <is>
          <t>Bài 39</t>
        </is>
      </c>
      <c r="B3560" s="0" t="inlineStr">
        <is>
          <t>坦白</t>
        </is>
      </c>
      <c r="C3560" s="0" t="inlineStr">
        <is>
          <t>tǎnbái</t>
        </is>
      </c>
      <c r="D3560" s="0" t="inlineStr">
        <is>
          <t>说真话，不隐瞒</t>
        </is>
      </c>
      <c r="E3560" s="0" t="inlineStr">
        <is>
          <t>thành thật, thẳng thắn</t>
        </is>
      </c>
      <c r="F3560" s="0" t="inlineStr">
        <is>
          <t>坦白地说，这次模拟考我发挥得不太好。</t>
        </is>
      </c>
      <c r="G3560" s="0" t="inlineStr"/>
      <c r="H3560" s="0" t="inlineStr"/>
    </row>
    <row r="3561">
      <c r="A3561" s="0" t="inlineStr">
        <is>
          <t>Bài 39</t>
        </is>
      </c>
      <c r="B3561" s="0" t="inlineStr">
        <is>
          <t>急功近利</t>
        </is>
      </c>
      <c r="C3561" s="0" t="inlineStr">
        <is>
          <t>jígōngjìnlì</t>
        </is>
      </c>
      <c r="D3561" s="0" t="inlineStr">
        <is>
          <t>急于求成，只顾眼前利益</t>
        </is>
      </c>
      <c r="E3561" s="0" t="inlineStr">
        <is>
          <t>nóng vội cầu lợi trước mắt</t>
        </is>
      </c>
      <c r="F3561" s="0" t="inlineStr">
        <is>
          <t>学语言不能急功近利，得慢慢积累。</t>
        </is>
      </c>
      <c r="G3561" s="0" t="inlineStr"/>
      <c r="H3561" s="0" t="inlineStr"/>
    </row>
    <row r="3562">
      <c r="A3562" s="0" t="inlineStr">
        <is>
          <t>Bài 39</t>
        </is>
      </c>
      <c r="B3562" s="0" t="inlineStr">
        <is>
          <t>进展</t>
        </is>
      </c>
      <c r="C3562" s="0" t="inlineStr">
        <is>
          <t>jìnzhǎn</t>
        </is>
      </c>
      <c r="D3562" s="0" t="inlineStr">
        <is>
          <t>事情向前发展，有新的进步</t>
        </is>
      </c>
      <c r="E3562" s="0" t="inlineStr">
        <is>
          <t>tiến triển</t>
        </is>
      </c>
      <c r="F3562" s="0" t="inlineStr">
        <is>
          <t>这个月我的听力进展挺明显的，能听懂更多新闻了。</t>
        </is>
      </c>
      <c r="G3562" s="0" t="inlineStr"/>
      <c r="H3562" s="0" t="inlineStr"/>
    </row>
    <row r="3563">
      <c r="A3563" s="0" t="inlineStr">
        <is>
          <t>Bài 39</t>
        </is>
      </c>
      <c r="B3563" s="0" t="inlineStr">
        <is>
          <t>牢骚</t>
        </is>
      </c>
      <c r="C3563" s="0" t="inlineStr">
        <is>
          <t>láosāo</t>
        </is>
      </c>
      <c r="D3563" s="0" t="inlineStr">
        <is>
          <t>不满的抱怨话</t>
        </is>
      </c>
      <c r="E3563" s="0" t="inlineStr">
        <is>
          <t>lời than phiền, lời cằn nhằn</t>
        </is>
      </c>
      <c r="F3563" s="0" t="inlineStr">
        <is>
          <t>作业太多的时候，学生难免会发点牢骚。</t>
        </is>
      </c>
      <c r="G3563" s="0" t="inlineStr"/>
      <c r="H3563" s="0" t="inlineStr"/>
    </row>
    <row r="3564">
      <c r="A3564" s="0" t="inlineStr">
        <is>
          <t>Bài 39</t>
        </is>
      </c>
      <c r="B3564" s="0" t="inlineStr">
        <is>
          <t>迄今为止</t>
        </is>
      </c>
      <c r="C3564" s="0" t="inlineStr">
        <is>
          <t>qìjīnwéizhǐ</t>
        </is>
      </c>
      <c r="D3564" s="0" t="inlineStr">
        <is>
          <t>到现在为止</t>
        </is>
      </c>
      <c r="E3564" s="0" t="inlineStr">
        <is>
          <t>cho đến nay</t>
        </is>
      </c>
      <c r="F3564" s="0" t="inlineStr">
        <is>
          <t>迄今为止，我已经坚持每天背单词三百多天了。</t>
        </is>
      </c>
      <c r="G3564" s="0" t="inlineStr"/>
      <c r="H3564" s="0" t="inlineStr"/>
    </row>
    <row r="3565">
      <c r="A3565" s="0" t="inlineStr">
        <is>
          <t>Bài 39</t>
        </is>
      </c>
      <c r="B3565" s="0" t="inlineStr">
        <is>
          <t>吃力</t>
        </is>
      </c>
      <c r="C3565" s="0" t="inlineStr">
        <is>
          <t>chīlì</t>
        </is>
      </c>
      <c r="D3565" s="0" t="inlineStr">
        <is>
          <t>需要花很大力气，很费劲</t>
        </is>
      </c>
      <c r="E3565" s="0" t="inlineStr">
        <is>
          <t>vất vả, tốn sức</t>
        </is>
      </c>
      <c r="F3565" s="0" t="inlineStr">
        <is>
          <t>刚开始读HSK6课文，我觉得挺吃力的，现在顺多了。</t>
        </is>
      </c>
      <c r="G3565" s="0" t="inlineStr"/>
      <c r="H3565" s="0" t="inlineStr"/>
    </row>
    <row r="3566">
      <c r="A3566" s="0" t="inlineStr">
        <is>
          <t>Bài 39</t>
        </is>
      </c>
      <c r="B3566" s="0" t="inlineStr">
        <is>
          <t>家喻户晓</t>
        </is>
      </c>
      <c r="C3566" s="0" t="inlineStr">
        <is>
          <t>jiāyùhùxiǎo</t>
        </is>
      </c>
      <c r="D3566" s="0" t="inlineStr">
        <is>
          <t>人人都知道，非常出名</t>
        </is>
      </c>
      <c r="E3566" s="0" t="inlineStr">
        <is>
          <t>ai ai cũng biết, nổi tiếng khắp nơi</t>
        </is>
      </c>
      <c r="F3566" s="0" t="inlineStr">
        <is>
          <t>这个成语故事在中国是家喻户晓的。</t>
        </is>
      </c>
      <c r="G3566" s="0" t="inlineStr"/>
      <c r="H3566" s="0" t="inlineStr"/>
    </row>
    <row r="3567">
      <c r="A3567" s="0" t="inlineStr">
        <is>
          <t>Bài 39</t>
        </is>
      </c>
      <c r="B3567" s="0" t="inlineStr">
        <is>
          <t>无穷无尽</t>
        </is>
      </c>
      <c r="C3567" s="0" t="inlineStr">
        <is>
          <t>wúqióngwújìn</t>
        </is>
      </c>
      <c r="D3567" s="0" t="inlineStr">
        <is>
          <t>没有尽头，非常多</t>
        </is>
      </c>
      <c r="E3567" s="0" t="inlineStr">
        <is>
          <t>vô cùng vô tận</t>
        </is>
      </c>
      <c r="F3567" s="0" t="inlineStr">
        <is>
          <t>网络上的中文学习资源简直无穷无尽，我都学不完。</t>
        </is>
      </c>
      <c r="G3567" s="0" t="inlineStr"/>
      <c r="H3567" s="0" t="inlineStr"/>
    </row>
    <row r="3568">
      <c r="A3568" s="0" t="inlineStr">
        <is>
          <t>Bài 39</t>
        </is>
      </c>
      <c r="B3568" s="0" t="inlineStr">
        <is>
          <t>罪犯</t>
        </is>
      </c>
      <c r="C3568" s="0" t="inlineStr">
        <is>
          <t>zuìfàn</t>
        </is>
      </c>
      <c r="D3568" s="0" t="inlineStr">
        <is>
          <t>犯了罪的人</t>
        </is>
      </c>
      <c r="E3568" s="0" t="inlineStr">
        <is>
          <t>tội phạm</t>
        </is>
      </c>
      <c r="F3568" s="0" t="inlineStr">
        <is>
          <t>这篇报道讲的是警方抓获网络诈骗罪犯的故事。</t>
        </is>
      </c>
      <c r="G3568" s="0" t="inlineStr"/>
      <c r="H3568" s="0" t="inlineStr"/>
    </row>
    <row r="3569">
      <c r="A3569" s="0" t="inlineStr">
        <is>
          <t>Bài 39</t>
        </is>
      </c>
      <c r="B3569" s="0" t="inlineStr">
        <is>
          <t>盗窃</t>
        </is>
      </c>
      <c r="C3569" s="0" t="inlineStr">
        <is>
          <t>dàoqiè</t>
        </is>
      </c>
      <c r="D3569" s="0" t="inlineStr">
        <is>
          <t>偷偷地拿走别人的东西</t>
        </is>
      </c>
      <c r="E3569" s="0" t="inlineStr">
        <is>
          <t>trộm cắp</t>
        </is>
      </c>
      <c r="F3569" s="0" t="inlineStr">
        <is>
          <t>新闻说有人盗窃了大量用户的账号密码，我赶紧改了密码。</t>
        </is>
      </c>
      <c r="G3569" s="0" t="inlineStr"/>
      <c r="H3569" s="0" t="inlineStr"/>
    </row>
    <row r="3570">
      <c r="A3570" s="0" t="inlineStr">
        <is>
          <t>Bài 39</t>
        </is>
      </c>
      <c r="B3570" s="0" t="inlineStr">
        <is>
          <t>公然</t>
        </is>
      </c>
      <c r="C3570" s="0" t="inlineStr">
        <is>
          <t>gōngrán</t>
        </is>
      </c>
      <c r="D3570" s="0" t="inlineStr">
        <is>
          <t>毫不隐瞒地，公开地（做坏事）</t>
        </is>
      </c>
      <c r="E3570" s="0" t="inlineStr">
        <is>
          <t>công khai, ngang nhiên</t>
        </is>
      </c>
      <c r="F3570" s="0" t="inlineStr">
        <is>
          <t>有人公然在网上冒充老师招生骗钱，我提醒学生要小心。</t>
        </is>
      </c>
      <c r="G3570" s="0" t="inlineStr"/>
      <c r="H3570" s="0" t="inlineStr"/>
    </row>
    <row r="3571">
      <c r="A3571" s="0" t="inlineStr">
        <is>
          <t>Bài 39</t>
        </is>
      </c>
      <c r="B3571" s="0" t="inlineStr">
        <is>
          <t>冒充</t>
        </is>
      </c>
      <c r="C3571" s="0" t="inlineStr">
        <is>
          <t>màochōng</t>
        </is>
      </c>
      <c r="D3571" s="0" t="inlineStr">
        <is>
          <t>假装成另一种身份来欺骗</t>
        </is>
      </c>
      <c r="E3571" s="0" t="inlineStr">
        <is>
          <t>giả mạo, mạo danh</t>
        </is>
      </c>
      <c r="F3571" s="0" t="inlineStr">
        <is>
          <t>对方冒充客服打电话给我，好在我及时识破了。</t>
        </is>
      </c>
      <c r="G3571" s="0" t="inlineStr"/>
      <c r="H3571" s="0" t="inlineStr"/>
    </row>
    <row r="3572">
      <c r="A3572" s="0" t="inlineStr">
        <is>
          <t>Bài 39</t>
        </is>
      </c>
      <c r="B3572" s="0" t="inlineStr">
        <is>
          <t>大肆</t>
        </is>
      </c>
      <c r="C3572" s="0" t="inlineStr">
        <is>
          <t>dàsì</t>
        </is>
      </c>
      <c r="D3572" s="0" t="inlineStr">
        <is>
          <t>毫无顾忌地大规模做（多指坏事）</t>
        </is>
      </c>
      <c r="E3572" s="0" t="inlineStr">
        <is>
          <t>ra sức, tràn lan (thường chỉ việc xấu)</t>
        </is>
      </c>
      <c r="F3572" s="0" t="inlineStr">
        <is>
          <t>网上大肆传播的假消息，一定要多方核实再相信。</t>
        </is>
      </c>
      <c r="G3572" s="0" t="inlineStr"/>
      <c r="H3572" s="0" t="inlineStr"/>
    </row>
    <row r="3573">
      <c r="A3573" s="0" t="inlineStr">
        <is>
          <t>Bài 39</t>
        </is>
      </c>
      <c r="B3573" s="0" t="inlineStr">
        <is>
          <t>诈骗</t>
        </is>
      </c>
      <c r="C3573" s="0" t="inlineStr">
        <is>
          <t>zhàpiàn</t>
        </is>
      </c>
      <c r="D3573" s="0" t="inlineStr">
        <is>
          <t>用欺骗手段骗取财物</t>
        </is>
      </c>
      <c r="E3573" s="0" t="inlineStr">
        <is>
          <t>lừa đảo</t>
        </is>
      </c>
      <c r="F3573" s="0" t="inlineStr">
        <is>
          <t>备考群里有人提醒大家小心网络诈骗，别乱转账。</t>
        </is>
      </c>
      <c r="G3573" s="0" t="inlineStr"/>
      <c r="H3573" s="0" t="inlineStr"/>
    </row>
    <row r="3574">
      <c r="A3574" s="0" t="inlineStr">
        <is>
          <t>Bài 39</t>
        </is>
      </c>
      <c r="B3574" s="0" t="inlineStr">
        <is>
          <t>拘留</t>
        </is>
      </c>
      <c r="C3574" s="0" t="inlineStr">
        <is>
          <t>jūliú</t>
        </is>
      </c>
      <c r="D3574" s="0" t="inlineStr">
        <is>
          <t>依法暂时限制人身自由</t>
        </is>
      </c>
      <c r="E3574" s="0" t="inlineStr">
        <is>
          <t>tạm giữ, câu lưu</t>
        </is>
      </c>
      <c r="F3574" s="0" t="inlineStr">
        <is>
          <t>新闻里说那个诈骗犯已经被警方依法拘留了。</t>
        </is>
      </c>
      <c r="G3574" s="0" t="inlineStr"/>
      <c r="H3574" s="0" t="inlineStr"/>
    </row>
    <row r="3575">
      <c r="A3575" s="0" t="inlineStr">
        <is>
          <t>Bài 39</t>
        </is>
      </c>
      <c r="B3575" s="0" t="inlineStr">
        <is>
          <t>败坏</t>
        </is>
      </c>
      <c r="C3575" s="0" t="inlineStr">
        <is>
          <t>bàihuài</t>
        </is>
      </c>
      <c r="D3575" s="0" t="inlineStr">
        <is>
          <t>损害、破坏（名誉、风气等）</t>
        </is>
      </c>
      <c r="E3575" s="0" t="inlineStr">
        <is>
          <t>làm tổn hại, làm hư hỏng (danh dự, phong khí)</t>
        </is>
      </c>
      <c r="F3575" s="0" t="inlineStr">
        <is>
          <t>抄袭这种事会败坏一个学生的名誉。</t>
        </is>
      </c>
      <c r="G3575" s="0" t="inlineStr"/>
      <c r="H3575" s="0" t="inlineStr"/>
    </row>
    <row r="3576">
      <c r="A3576" s="0" t="inlineStr">
        <is>
          <t>Bài 39</t>
        </is>
      </c>
      <c r="B3576" s="0" t="inlineStr">
        <is>
          <t>名誉</t>
        </is>
      </c>
      <c r="C3576" s="0" t="inlineStr">
        <is>
          <t>míngyù</t>
        </is>
      </c>
      <c r="D3576" s="0" t="inlineStr">
        <is>
          <t>社会对一个人或组织的评价</t>
        </is>
      </c>
      <c r="E3576" s="0" t="inlineStr">
        <is>
          <t>danh dự, danh tiếng</t>
        </is>
      </c>
      <c r="F3576" s="0" t="inlineStr">
        <is>
          <t>老师很看重自己的教学名誉，从不敷衍学生。</t>
        </is>
      </c>
      <c r="G3576" s="0" t="inlineStr"/>
      <c r="H3576" s="0" t="inlineStr"/>
    </row>
    <row r="3577">
      <c r="A3577" s="0" t="inlineStr">
        <is>
          <t>Bài 39</t>
        </is>
      </c>
      <c r="B3577" s="0" t="inlineStr">
        <is>
          <t>曝光</t>
        </is>
      </c>
      <c r="C3577" s="0" t="inlineStr">
        <is>
          <t>bàoguāng</t>
        </is>
      </c>
      <c r="D3577" s="0" t="inlineStr">
        <is>
          <t>被公开揭露（多指坏事）</t>
        </is>
      </c>
      <c r="E3577" s="0" t="inlineStr">
        <is>
          <t>bị phơi bày, phanh phui (trước công luận)</t>
        </is>
      </c>
      <c r="F3577" s="0" t="inlineStr">
        <is>
          <t>那家假培训机构被曝光以后，很快就关门了。</t>
        </is>
      </c>
      <c r="G3577" s="0" t="inlineStr"/>
      <c r="H3577" s="0" t="inlineStr"/>
    </row>
    <row r="3578">
      <c r="A3578" s="0" t="inlineStr">
        <is>
          <t>Bài 40</t>
        </is>
      </c>
      <c r="B3578" s="0" t="inlineStr">
        <is>
          <t>引用</t>
        </is>
      </c>
      <c r="C3578" s="0" t="inlineStr">
        <is>
          <t>yǐnyòng</t>
        </is>
      </c>
      <c r="D3578" s="0" t="inlineStr">
        <is>
          <t>把别人说过的话、写过的内容拿来用</t>
        </is>
      </c>
      <c r="E3578" s="0" t="inlineStr">
        <is>
          <t>trích dẫn</t>
        </is>
      </c>
      <c r="F3578" s="0" t="inlineStr">
        <is>
          <t>写HSK6作文时，我喜欢引用一两句名言，让文章更有说服力。</t>
        </is>
      </c>
      <c r="G3578" s="0" t="inlineStr"/>
      <c r="H3578" s="0" t="inlineStr"/>
    </row>
    <row r="3579">
      <c r="A3579" s="0" t="inlineStr">
        <is>
          <t>Bài 40</t>
        </is>
      </c>
      <c r="B3579" s="0" t="inlineStr">
        <is>
          <t>截至</t>
        </is>
      </c>
      <c r="C3579" s="0" t="inlineStr">
        <is>
          <t>jiézhì</t>
        </is>
      </c>
      <c r="D3579" s="0" t="inlineStr">
        <is>
          <t>到某个时间点为止</t>
        </is>
      </c>
      <c r="E3579" s="0" t="inlineStr">
        <is>
          <t>tính đến (một mốc thời gian)</t>
        </is>
      </c>
      <c r="F3579" s="0" t="inlineStr">
        <is>
          <t>截至今天，我已经连续打卡背单词一百天了。</t>
        </is>
      </c>
      <c r="G3579" s="0" t="inlineStr"/>
      <c r="H3579" s="0" t="inlineStr"/>
    </row>
    <row r="3580">
      <c r="A3580" s="0" t="inlineStr">
        <is>
          <t>Bài 40</t>
        </is>
      </c>
      <c r="B3580" s="0" t="inlineStr">
        <is>
          <t>力争</t>
        </is>
      </c>
      <c r="C3580" s="0" t="inlineStr">
        <is>
          <t>lìzhēng</t>
        </is>
      </c>
      <c r="D3580" s="0" t="inlineStr">
        <is>
          <t>努力争取达到某个目标</t>
        </is>
      </c>
      <c r="E3580" s="0" t="inlineStr">
        <is>
          <t>cố gắng giành lấy, nỗ lực đạt được</t>
        </is>
      </c>
      <c r="F3580" s="0" t="inlineStr">
        <is>
          <t>这次HSK6我力争考到220分以上。</t>
        </is>
      </c>
      <c r="G3580" s="0" t="inlineStr"/>
      <c r="H3580" s="0" t="inlineStr"/>
    </row>
    <row r="3581">
      <c r="A3581" s="0" t="inlineStr">
        <is>
          <t>Bài 40</t>
        </is>
      </c>
      <c r="B3581" s="0" t="inlineStr">
        <is>
          <t>亚军</t>
        </is>
      </c>
      <c r="C3581" s="0" t="inlineStr">
        <is>
          <t>yàjūn</t>
        </is>
      </c>
      <c r="D3581" s="0" t="inlineStr">
        <is>
          <t>比赛中获得第二名</t>
        </is>
      </c>
      <c r="E3581" s="0" t="inlineStr">
        <is>
          <t>á quân, hạng nhì</t>
        </is>
      </c>
      <c r="F3581" s="0" t="inlineStr">
        <is>
          <t>这次演讲比赛我拿了亚军，虽然不是第一，但也很满意。</t>
        </is>
      </c>
      <c r="G3581" s="0" t="inlineStr"/>
      <c r="H3581" s="0" t="inlineStr"/>
    </row>
    <row r="3582">
      <c r="A3582" s="0" t="inlineStr">
        <is>
          <t>Bài 40</t>
        </is>
      </c>
      <c r="B3582" s="0" t="inlineStr">
        <is>
          <t>季军</t>
        </is>
      </c>
      <c r="C3582" s="0" t="inlineStr">
        <is>
          <t>jìjūn</t>
        </is>
      </c>
      <c r="D3582" s="0" t="inlineStr">
        <is>
          <t>比赛中获得第三名</t>
        </is>
      </c>
      <c r="E3582" s="0" t="inlineStr">
        <is>
          <t>hạng ba</t>
        </is>
      </c>
      <c r="F3582" s="0" t="inlineStr">
        <is>
          <t>上次班级朗读比赛，我的学生拿了季军。</t>
        </is>
      </c>
      <c r="G3582" s="0" t="inlineStr"/>
      <c r="H3582" s="0" t="inlineStr"/>
    </row>
    <row r="3583">
      <c r="A3583" s="0" t="inlineStr">
        <is>
          <t>Bài 40</t>
        </is>
      </c>
      <c r="B3583" s="0" t="inlineStr">
        <is>
          <t>极限</t>
        </is>
      </c>
      <c r="C3583" s="0" t="inlineStr">
        <is>
          <t>jíxiàn</t>
        </is>
      </c>
      <c r="D3583" s="0" t="inlineStr">
        <is>
          <t>能达到的最高、最大程度</t>
        </is>
      </c>
      <c r="E3583" s="0" t="inlineStr">
        <is>
          <t>giới hạn, cực hạn</t>
        </is>
      </c>
      <c r="F3583" s="0" t="inlineStr">
        <is>
          <t>每天背单词的数量，我也在慢慢试探自己的极限。</t>
        </is>
      </c>
      <c r="G3583" s="0" t="inlineStr"/>
      <c r="H3583" s="0" t="inlineStr"/>
    </row>
    <row r="3584">
      <c r="A3584" s="0" t="inlineStr">
        <is>
          <t>Bài 40</t>
        </is>
      </c>
      <c r="B3584" s="0" t="inlineStr">
        <is>
          <t>狭窄</t>
        </is>
      </c>
      <c r="C3584" s="0" t="inlineStr">
        <is>
          <t>xiázhǎi</t>
        </is>
      </c>
      <c r="D3584" s="0" t="inlineStr">
        <is>
          <t>范围或空间很小</t>
        </is>
      </c>
      <c r="E3584" s="0" t="inlineStr">
        <is>
          <t>hẹp, chật hẹp</t>
        </is>
      </c>
      <c r="F3584" s="0" t="inlineStr">
        <is>
          <t>只靠课本学中文，视野会比较狭窄，得多看点课外材料。</t>
        </is>
      </c>
      <c r="G3584" s="0" t="inlineStr"/>
      <c r="H3584" s="0" t="inlineStr"/>
    </row>
    <row r="3585">
      <c r="A3585" s="0" t="inlineStr">
        <is>
          <t>Bài 40</t>
        </is>
      </c>
      <c r="B3585" s="0" t="inlineStr">
        <is>
          <t>任性</t>
        </is>
      </c>
      <c r="C3585" s="0" t="inlineStr">
        <is>
          <t>rènxìng</t>
        </is>
      </c>
      <c r="D3585" s="0" t="inlineStr">
        <is>
          <t>只按自己的想法做，不听劝</t>
        </is>
      </c>
      <c r="E3585" s="0" t="inlineStr">
        <is>
          <t>bướng bỉnh, tùy tiện</t>
        </is>
      </c>
      <c r="F3585" s="0" t="inlineStr">
        <is>
          <t>备考计划定好了就别任性不执行，要坚持下去。</t>
        </is>
      </c>
      <c r="G3585" s="0" t="inlineStr"/>
      <c r="H3585" s="0" t="inlineStr"/>
    </row>
    <row r="3586">
      <c r="A3586" s="0" t="inlineStr">
        <is>
          <t>Bài 40</t>
        </is>
      </c>
      <c r="B3586" s="0" t="inlineStr">
        <is>
          <t>田径</t>
        </is>
      </c>
      <c r="C3586" s="0" t="inlineStr">
        <is>
          <t>tiánjìng</t>
        </is>
      </c>
      <c r="D3586" s="0" t="inlineStr">
        <is>
          <t>跑跳投掷类的体育运动项目</t>
        </is>
      </c>
      <c r="E3586" s="0" t="inlineStr">
        <is>
          <t>điền kinh</t>
        </is>
      </c>
      <c r="F3586" s="0" t="inlineStr">
        <is>
          <t>这篇HSK6阅读讲的是田径运动员的训练故事。</t>
        </is>
      </c>
      <c r="G3586" s="0" t="inlineStr"/>
      <c r="H3586" s="0" t="inlineStr"/>
    </row>
    <row r="3587">
      <c r="A3587" s="0" t="inlineStr">
        <is>
          <t>Bài 40</t>
        </is>
      </c>
      <c r="B3587" s="0" t="inlineStr">
        <is>
          <t>选手</t>
        </is>
      </c>
      <c r="C3587" s="0" t="inlineStr">
        <is>
          <t>xuǎnshǒu</t>
        </is>
      </c>
      <c r="D3587" s="0" t="inlineStr">
        <is>
          <t>参加比赛的人</t>
        </is>
      </c>
      <c r="E3587" s="0" t="inlineStr">
        <is>
          <t>vận động viên, người dự thi</t>
        </is>
      </c>
      <c r="F3587" s="0" t="inlineStr">
        <is>
          <t>看完这篇课文，我发现自己也算是备考路上的一名选手。</t>
        </is>
      </c>
      <c r="G3587" s="0" t="inlineStr"/>
      <c r="H3587" s="0" t="inlineStr"/>
    </row>
    <row r="3588">
      <c r="A3588" s="0" t="inlineStr">
        <is>
          <t>Bài 40</t>
        </is>
      </c>
      <c r="B3588" s="0" t="inlineStr">
        <is>
          <t>同胞</t>
        </is>
      </c>
      <c r="C3588" s="0" t="inlineStr">
        <is>
          <t>tóngbāo</t>
        </is>
      </c>
      <c r="D3588" s="0" t="inlineStr">
        <is>
          <t>同一个国家或民族的人</t>
        </is>
      </c>
      <c r="E3588" s="0" t="inlineStr">
        <is>
          <t>đồng bào</t>
        </is>
      </c>
      <c r="F3588" s="0" t="inlineStr">
        <is>
          <t>在国外遇到中国同胞，用中文聊天特别亲切。</t>
        </is>
      </c>
      <c r="G3588" s="0" t="inlineStr"/>
      <c r="H3588" s="0" t="inlineStr"/>
    </row>
    <row r="3589">
      <c r="A3589" s="0" t="inlineStr">
        <is>
          <t>Bài 40</t>
        </is>
      </c>
      <c r="B3589" s="0" t="inlineStr">
        <is>
          <t>直播</t>
        </is>
      </c>
      <c r="C3589" s="0" t="inlineStr">
        <is>
          <t>zhíbō</t>
        </is>
      </c>
      <c r="D3589" s="0" t="inlineStr">
        <is>
          <t>实时播出，不是录播</t>
        </is>
      </c>
      <c r="E3589" s="0" t="inlineStr">
        <is>
          <t>phát trực tiếp, livestream</t>
        </is>
      </c>
      <c r="F3589" s="0" t="inlineStr">
        <is>
          <t>我常看中文老师的直播课，跟着一起练发音。</t>
        </is>
      </c>
      <c r="G3589" s="0" t="inlineStr"/>
      <c r="H3589" s="0" t="inlineStr"/>
    </row>
    <row r="3590">
      <c r="A3590" s="0" t="inlineStr">
        <is>
          <t>Bài 40</t>
        </is>
      </c>
      <c r="B3590" s="0" t="inlineStr">
        <is>
          <t>旗帜</t>
        </is>
      </c>
      <c r="C3590" s="0" t="inlineStr">
        <is>
          <t>qízhì</t>
        </is>
      </c>
      <c r="D3590" s="0" t="inlineStr">
        <is>
          <t>有代表意义的旗子</t>
        </is>
      </c>
      <c r="E3590" s="0" t="inlineStr">
        <is>
          <t>cờ, ngọn cờ (biểu tượng)</t>
        </is>
      </c>
      <c r="F3590" s="0" t="inlineStr">
        <is>
          <t>运动会开幕式上，各班举着自己的旗帜入场。</t>
        </is>
      </c>
      <c r="G3590" s="0" t="inlineStr"/>
      <c r="H3590" s="0" t="inlineStr"/>
    </row>
    <row r="3591">
      <c r="A3591" s="0" t="inlineStr">
        <is>
          <t>Bài 40</t>
        </is>
      </c>
      <c r="B3591" s="0" t="inlineStr">
        <is>
          <t>领先</t>
        </is>
      </c>
      <c r="C3591" s="0" t="inlineStr">
        <is>
          <t>lǐngxiān</t>
        </is>
      </c>
      <c r="D3591" s="0" t="inlineStr">
        <is>
          <t>走在最前面，超过别人</t>
        </is>
      </c>
      <c r="E3591" s="0" t="inlineStr">
        <is>
          <t>dẫn đầu, đi trước</t>
        </is>
      </c>
      <c r="F3591" s="0" t="inlineStr">
        <is>
          <t>这次模拟考，我的阅读成绩在班里领先。</t>
        </is>
      </c>
      <c r="G3591" s="0" t="inlineStr"/>
      <c r="H3591" s="0" t="inlineStr"/>
    </row>
    <row r="3592">
      <c r="A3592" s="0" t="inlineStr">
        <is>
          <t>Bài 40</t>
        </is>
      </c>
      <c r="B3592" s="0" t="inlineStr">
        <is>
          <t>分解</t>
        </is>
      </c>
      <c r="C3592" s="0" t="inlineStr">
        <is>
          <t>fēnjiě</t>
        </is>
      </c>
      <c r="D3592" s="0" t="inlineStr">
        <is>
          <t>把整体拆分成几个部分</t>
        </is>
      </c>
      <c r="E3592" s="0" t="inlineStr">
        <is>
          <t>phân giải, chia nhỏ ra</t>
        </is>
      </c>
      <c r="F3592" s="0" t="inlineStr">
        <is>
          <t>把长句子分解成几个短句，理解语法就容易多了。</t>
        </is>
      </c>
      <c r="G3592" s="0" t="inlineStr"/>
      <c r="H3592" s="0" t="inlineStr"/>
    </row>
    <row r="3593">
      <c r="A3593" s="0" t="inlineStr">
        <is>
          <t>Bài 40</t>
        </is>
      </c>
      <c r="B3593" s="0" t="inlineStr">
        <is>
          <t>公式</t>
        </is>
      </c>
      <c r="C3593" s="0" t="inlineStr">
        <is>
          <t>gōngshì</t>
        </is>
      </c>
      <c r="D3593" s="0" t="inlineStr">
        <is>
          <t>固定的计算方法或格式</t>
        </is>
      </c>
      <c r="E3593" s="0" t="inlineStr">
        <is>
          <t>công thức</t>
        </is>
      </c>
      <c r="F3593" s="0" t="inlineStr">
        <is>
          <t>老师教了我一个写作文开头的公式，挺好用的。</t>
        </is>
      </c>
      <c r="G3593" s="0" t="inlineStr"/>
      <c r="H3593" s="0" t="inlineStr"/>
    </row>
    <row r="3594">
      <c r="A3594" s="0" t="inlineStr">
        <is>
          <t>Bài 40</t>
        </is>
      </c>
      <c r="B3594" s="0" t="inlineStr">
        <is>
          <t>精密</t>
        </is>
      </c>
      <c r="C3594" s="0" t="inlineStr">
        <is>
          <t>jīngmì</t>
        </is>
      </c>
      <c r="D3594" s="0" t="inlineStr">
        <is>
          <t>非常准确、细致</t>
        </is>
      </c>
      <c r="E3594" s="0" t="inlineStr">
        <is>
          <t>chính xác, tinh vi</t>
        </is>
      </c>
      <c r="F3594" s="0" t="inlineStr">
        <is>
          <t>翻译软件现在越来越精密，但语感还是得靠自己练。</t>
        </is>
      </c>
      <c r="G3594" s="0" t="inlineStr"/>
      <c r="H3594" s="0" t="inlineStr"/>
    </row>
    <row r="3595">
      <c r="A3595" s="0" t="inlineStr">
        <is>
          <t>Bài 40</t>
        </is>
      </c>
      <c r="B3595" s="0" t="inlineStr">
        <is>
          <t>悬殊</t>
        </is>
      </c>
      <c r="C3595" s="0" t="inlineStr">
        <is>
          <t>xuánshū</t>
        </is>
      </c>
      <c r="D3595" s="0" t="inlineStr">
        <is>
          <t>差别很大</t>
        </is>
      </c>
      <c r="E3595" s="0" t="inlineStr">
        <is>
          <t>chênh lệch rất lớn</t>
        </is>
      </c>
      <c r="F3595" s="0" t="inlineStr">
        <is>
          <t>刚开始学中文和现在比，水平差距真是悬殊。</t>
        </is>
      </c>
      <c r="G3595" s="0" t="inlineStr"/>
      <c r="H3595" s="0" t="inlineStr"/>
    </row>
    <row r="3596">
      <c r="A3596" s="0" t="inlineStr">
        <is>
          <t>Bài 40</t>
        </is>
      </c>
      <c r="B3596" s="0" t="inlineStr">
        <is>
          <t>迷信</t>
        </is>
      </c>
      <c r="C3596" s="0" t="inlineStr">
        <is>
          <t>míxìn</t>
        </is>
      </c>
      <c r="D3596" s="0" t="inlineStr">
        <is>
          <t>盲目相信，不讲科学道理</t>
        </is>
      </c>
      <c r="E3596" s="0" t="inlineStr">
        <is>
          <t>mê tín</t>
        </is>
      </c>
      <c r="F3596" s="0" t="inlineStr">
        <is>
          <t>别迷信什么“速成班”，学语言还是得靠日积月累。</t>
        </is>
      </c>
      <c r="G3596" s="0" t="inlineStr"/>
      <c r="H3596" s="0" t="inlineStr"/>
    </row>
    <row r="3597">
      <c r="A3597" s="0" t="inlineStr">
        <is>
          <t>Bài 40</t>
        </is>
      </c>
      <c r="B3597" s="0" t="inlineStr">
        <is>
          <t>舆论</t>
        </is>
      </c>
      <c r="C3597" s="0" t="inlineStr">
        <is>
          <t>yúlùn</t>
        </is>
      </c>
      <c r="D3597" s="0" t="inlineStr">
        <is>
          <t>公众普遍的看法、议论</t>
        </is>
      </c>
      <c r="E3597" s="0" t="inlineStr">
        <is>
          <t>dư luận</t>
        </is>
      </c>
      <c r="F3597" s="0" t="inlineStr">
        <is>
          <t>网上关于学外语最佳年龄的舆论，各种说法都有。</t>
        </is>
      </c>
      <c r="G3597" s="0" t="inlineStr"/>
      <c r="H3597" s="0" t="inlineStr"/>
    </row>
    <row r="3598">
      <c r="A3598" s="0" t="inlineStr">
        <is>
          <t>Bài 40</t>
        </is>
      </c>
      <c r="B3598" s="0" t="inlineStr">
        <is>
          <t>自发</t>
        </is>
      </c>
      <c r="C3598" s="0" t="inlineStr">
        <is>
          <t>zìfā</t>
        </is>
      </c>
      <c r="D3598" s="0" t="inlineStr">
        <is>
          <t>自己主动产生，不是被要求的</t>
        </is>
      </c>
      <c r="E3598" s="0" t="inlineStr">
        <is>
          <t>tự phát</t>
        </is>
      </c>
      <c r="F3598" s="0" t="inlineStr">
        <is>
          <t>我们班的同学自发组织了一个周末中文角。</t>
        </is>
      </c>
      <c r="G3598" s="0" t="inlineStr"/>
      <c r="H3598" s="0" t="inlineStr"/>
    </row>
    <row r="3599">
      <c r="A3599" s="0" t="inlineStr">
        <is>
          <t>Bài 40</t>
        </is>
      </c>
      <c r="B3599" s="0" t="inlineStr">
        <is>
          <t>掀起</t>
        </is>
      </c>
      <c r="C3599" s="0" t="inlineStr">
        <is>
          <t>xiānqǐ</t>
        </is>
      </c>
      <c r="D3599" s="0" t="inlineStr">
        <is>
          <t>引起，兴起（热潮、活动等）</t>
        </is>
      </c>
      <c r="E3599" s="0" t="inlineStr">
        <is>
          <t>dấy lên, khởi lên (phong trào)</t>
        </is>
      </c>
      <c r="F3599" s="0" t="inlineStr">
        <is>
          <t>这几年中心掀起了一股学中文的热潮。</t>
        </is>
      </c>
      <c r="G3599" s="0" t="inlineStr"/>
      <c r="H3599" s="0" t="inlineStr"/>
    </row>
    <row r="3600">
      <c r="A3600" s="0" t="inlineStr">
        <is>
          <t>Bài 40</t>
        </is>
      </c>
      <c r="B3600" s="0" t="inlineStr">
        <is>
          <t>空洞</t>
        </is>
      </c>
      <c r="C3600" s="0" t="inlineStr">
        <is>
          <t>kōngdòng</t>
        </is>
      </c>
      <c r="D3600" s="0" t="inlineStr">
        <is>
          <t>内容空虚，没有实质内容</t>
        </is>
      </c>
      <c r="E3600" s="0" t="inlineStr">
        <is>
          <t>trống rỗng, sáo rỗng</t>
        </is>
      </c>
      <c r="F3600" s="0" t="inlineStr">
        <is>
          <t>写作文别用太空洞的话，要有具体的例子。</t>
        </is>
      </c>
      <c r="G3600" s="0" t="inlineStr"/>
      <c r="H3600" s="0" t="inlineStr"/>
    </row>
    <row r="3601">
      <c r="A3601" s="0" t="inlineStr">
        <is>
          <t>Bài 40</t>
        </is>
      </c>
      <c r="B3601" s="0" t="inlineStr">
        <is>
          <t>制约</t>
        </is>
      </c>
      <c r="C3601" s="0" t="inlineStr">
        <is>
          <t>zhìyuē</t>
        </is>
      </c>
      <c r="D3601" s="0" t="inlineStr">
        <is>
          <t>限制、约束（另一事物的发展）</t>
        </is>
      </c>
      <c r="E3601" s="0" t="inlineStr">
        <is>
          <t>kiềm chế, ràng buộc</t>
        </is>
      </c>
      <c r="F3601" s="0" t="inlineStr">
        <is>
          <t>时间不够是制约我练习口语的最大因素。</t>
        </is>
      </c>
      <c r="G3601" s="0" t="inlineStr"/>
      <c r="H3601" s="0" t="inlineStr"/>
    </row>
    <row r="3602">
      <c r="A3602" s="0" t="inlineStr">
        <is>
          <t>Bài 40</t>
        </is>
      </c>
      <c r="B3602" s="0" t="inlineStr">
        <is>
          <t>原理</t>
        </is>
      </c>
      <c r="C3602" s="0" t="inlineStr">
        <is>
          <t>yuánlǐ</t>
        </is>
      </c>
      <c r="D3602" s="0" t="inlineStr">
        <is>
          <t>事物运作的基本道理</t>
        </is>
      </c>
      <c r="E3602" s="0" t="inlineStr">
        <is>
          <t>nguyên lý</t>
        </is>
      </c>
      <c r="F3602" s="0" t="inlineStr">
        <is>
          <t>弄懂语法背后的原理，比死记规则更容易记住。</t>
        </is>
      </c>
      <c r="G3602" s="0" t="inlineStr"/>
      <c r="H3602" s="0" t="inlineStr"/>
    </row>
    <row r="3603">
      <c r="A3603" s="0" t="inlineStr">
        <is>
          <t>Bài 40</t>
        </is>
      </c>
      <c r="B3603" s="0" t="inlineStr">
        <is>
          <t>冷酷</t>
        </is>
      </c>
      <c r="C3603" s="0" t="inlineStr">
        <is>
          <t>lěngkù</t>
        </is>
      </c>
      <c r="D3603" s="0" t="inlineStr">
        <is>
          <t>没有感情，很无情</t>
        </is>
      </c>
      <c r="E3603" s="0" t="inlineStr">
        <is>
          <t>lạnh lùng, tàn nhẫn</t>
        </is>
      </c>
      <c r="F3603" s="0" t="inlineStr">
        <is>
          <t>备考的日子有点冷酷，每天都逼自己坐下来学习。</t>
        </is>
      </c>
      <c r="G3603" s="0" t="inlineStr"/>
      <c r="H3603" s="0" t="inlineStr"/>
    </row>
    <row r="3604">
      <c r="A3604" s="0" t="inlineStr">
        <is>
          <t>Bài 40</t>
        </is>
      </c>
      <c r="B3604" s="0" t="inlineStr">
        <is>
          <t>动员</t>
        </is>
      </c>
      <c r="C3604" s="0" t="inlineStr">
        <is>
          <t>dòngyuán</t>
        </is>
      </c>
      <c r="D3604" s="0" t="inlineStr">
        <is>
          <t>发动、号召大家参加</t>
        </is>
      </c>
      <c r="E3604" s="0" t="inlineStr">
        <is>
          <t>động viên, huy động</t>
        </is>
      </c>
      <c r="F3604" s="0" t="inlineStr">
        <is>
          <t>我动员班里的学生一起参加中文朗诵比赛。</t>
        </is>
      </c>
      <c r="G3604" s="0" t="inlineStr"/>
      <c r="H3604" s="0" t="inlineStr"/>
    </row>
    <row r="3605">
      <c r="A3605" s="0" t="inlineStr">
        <is>
          <t>Bài 40</t>
        </is>
      </c>
      <c r="B3605" s="0" t="inlineStr">
        <is>
          <t>牵扯</t>
        </is>
      </c>
      <c r="C3605" s="0" t="inlineStr">
        <is>
          <t>qiānchě</t>
        </is>
      </c>
      <c r="D3605" s="0" t="inlineStr">
        <is>
          <t>牵连、涉及到</t>
        </is>
      </c>
      <c r="E3605" s="0" t="inlineStr">
        <is>
          <t>liên can, dính líu tới</t>
        </is>
      </c>
      <c r="F3605" s="0" t="inlineStr">
        <is>
          <t>这道阅读题牵扯到好几个语法点，我得一个一个理清楚。</t>
        </is>
      </c>
      <c r="G3605" s="0" t="inlineStr"/>
      <c r="H3605" s="0" t="inlineStr"/>
    </row>
    <row r="3606">
      <c r="A3606" s="0" t="inlineStr">
        <is>
          <t>Bài 40</t>
        </is>
      </c>
      <c r="B3606" s="0" t="inlineStr">
        <is>
          <t>胸膛</t>
        </is>
      </c>
      <c r="C3606" s="0" t="inlineStr">
        <is>
          <t>xiōngtáng</t>
        </is>
      </c>
      <c r="D3606" s="0" t="inlineStr">
        <is>
          <t>胸部</t>
        </is>
      </c>
      <c r="E3606" s="0" t="inlineStr">
        <is>
          <t>lồng ngực</t>
        </is>
      </c>
      <c r="F3606" s="0" t="inlineStr">
        <is>
          <t>跑完步，我能感觉到自己的心在胸膛里怦怦直跳。</t>
        </is>
      </c>
      <c r="G3606" s="0" t="inlineStr"/>
      <c r="H3606" s="0" t="inlineStr"/>
    </row>
    <row r="3607">
      <c r="A3607" s="0" t="inlineStr">
        <is>
          <t>Bài 40</t>
        </is>
      </c>
      <c r="B3607" s="0" t="inlineStr">
        <is>
          <t>管辖</t>
        </is>
      </c>
      <c r="C3607" s="0" t="inlineStr">
        <is>
          <t>guǎnxiá</t>
        </is>
      </c>
      <c r="D3607" s="0" t="inlineStr">
        <is>
          <t>负责管理（某个范围）</t>
        </is>
      </c>
      <c r="E3607" s="0" t="inlineStr">
        <is>
          <t>quản lý, quản hạt</t>
        </is>
      </c>
      <c r="F3607" s="0" t="inlineStr">
        <is>
          <t>这个考点归教育局管辖，报名规则都得按他们的要求来。</t>
        </is>
      </c>
      <c r="G3607" s="0" t="inlineStr"/>
      <c r="H3607" s="0" t="inlineStr"/>
    </row>
    <row r="3608">
      <c r="A3608" s="0" t="inlineStr">
        <is>
          <t>Bài 40</t>
        </is>
      </c>
      <c r="B3608" s="0" t="inlineStr">
        <is>
          <t>故障</t>
        </is>
      </c>
      <c r="C3608" s="0" t="inlineStr">
        <is>
          <t>gùzhàng</t>
        </is>
      </c>
      <c r="D3608" s="0" t="inlineStr">
        <is>
          <t>设备出现的问题、毛病</t>
        </is>
      </c>
      <c r="E3608" s="0" t="inlineStr">
        <is>
          <t>sự cố, trục trặc (thiết bị)</t>
        </is>
      </c>
      <c r="F3608" s="0" t="inlineStr">
        <is>
          <t>上网课时电脑突然出故障，我只好赶紧换手机继续听课。</t>
        </is>
      </c>
      <c r="G3608" s="0" t="inlineStr"/>
      <c r="H3608" s="0" t="inlineStr"/>
    </row>
    <row r="3609">
      <c r="A3609" s="0" t="inlineStr">
        <is>
          <t>Bài 40</t>
        </is>
      </c>
      <c r="B3609" s="0" t="inlineStr">
        <is>
          <t>严禁</t>
        </is>
      </c>
      <c r="C3609" s="0" t="inlineStr">
        <is>
          <t>yánjìn</t>
        </is>
      </c>
      <c r="D3609" s="0" t="inlineStr">
        <is>
          <t>严格禁止</t>
        </is>
      </c>
      <c r="E3609" s="0" t="inlineStr">
        <is>
          <t>nghiêm cấm</t>
        </is>
      </c>
      <c r="F3609" s="0" t="inlineStr">
        <is>
          <t>考场严禁携带手机，我进去前特意检查了一遍包。</t>
        </is>
      </c>
      <c r="G3609" s="0" t="inlineStr"/>
      <c r="H3609" s="0" t="inlineStr"/>
    </row>
    <row r="3610">
      <c r="A3610" s="0" t="inlineStr">
        <is>
          <t>Bài 40</t>
        </is>
      </c>
      <c r="B3610" s="0" t="inlineStr">
        <is>
          <t>猝死</t>
        </is>
      </c>
      <c r="C3610" s="0" t="inlineStr">
        <is>
          <t>cùsǐ</t>
        </is>
      </c>
      <c r="D3610" s="0" t="inlineStr">
        <is>
          <t>突然发生的死亡（多因心脏等疾病）</t>
        </is>
      </c>
      <c r="E3610" s="0" t="inlineStr">
        <is>
          <t>đột tử</t>
        </is>
      </c>
      <c r="F3610" s="0" t="inlineStr">
        <is>
          <t>这篇课文提醒我们运动过量可能引发猝死，要量力而行。</t>
        </is>
      </c>
      <c r="G3610" s="0" t="inlineStr"/>
      <c r="H3610" s="0" t="inlineStr"/>
    </row>
    <row r="3611">
      <c r="A3611" s="0" t="inlineStr">
        <is>
          <t>Bài 40</t>
        </is>
      </c>
      <c r="B3611" s="0" t="inlineStr">
        <is>
          <t>正规</t>
        </is>
      </c>
      <c r="C3611" s="0" t="inlineStr">
        <is>
          <t>zhèngguī</t>
        </is>
      </c>
      <c r="D3611" s="0" t="inlineStr">
        <is>
          <t>符合正式标准，规范</t>
        </is>
      </c>
      <c r="E3611" s="0" t="inlineStr">
        <is>
          <t>chính quy, bài bản</t>
        </is>
      </c>
      <c r="F3611" s="0" t="inlineStr">
        <is>
          <t>跟着正规的教材学发音，比自己瞎练靠谱多了。</t>
        </is>
      </c>
      <c r="G3611" s="0" t="inlineStr"/>
      <c r="H3611" s="0" t="inlineStr"/>
    </row>
    <row r="3612">
      <c r="A3612" s="0" t="inlineStr">
        <is>
          <t>Bài 40</t>
        </is>
      </c>
      <c r="B3612" s="0" t="inlineStr">
        <is>
          <t>演习</t>
        </is>
      </c>
      <c r="C3612" s="0" t="inlineStr">
        <is>
          <t>yǎnxí</t>
        </is>
      </c>
      <c r="D3612" s="0" t="inlineStr">
        <is>
          <t>预先练习、模拟实际情况</t>
        </is>
      </c>
      <c r="E3612" s="0" t="inlineStr">
        <is>
          <t>diễn tập, tập dượt</t>
        </is>
      </c>
      <c r="F3612" s="0" t="inlineStr">
        <is>
          <t>考前老师带我们演习了一次完整的HSKK流程。</t>
        </is>
      </c>
      <c r="G3612" s="0" t="inlineStr"/>
      <c r="H3612" s="0" t="inlineStr"/>
    </row>
    <row r="3613">
      <c r="A3613" s="0" t="inlineStr">
        <is>
          <t>Bài 40</t>
        </is>
      </c>
      <c r="B3613" s="0" t="inlineStr">
        <is>
          <t>弹性</t>
        </is>
      </c>
      <c r="C3613" s="0" t="inlineStr">
        <is>
          <t>tánxìng</t>
        </is>
      </c>
      <c r="D3613" s="0" t="inlineStr">
        <is>
          <t>可以灵活调整的性质</t>
        </is>
      </c>
      <c r="E3613" s="0" t="inlineStr">
        <is>
          <t>tính linh hoạt, độ đàn hồi</t>
        </is>
      </c>
      <c r="F3613" s="0" t="inlineStr">
        <is>
          <t>我的复习计划留了点弹性，万一哪天忙也不至于全乱。</t>
        </is>
      </c>
      <c r="G3613" s="0" t="inlineStr"/>
      <c r="H3613" s="0" t="inlineStr"/>
    </row>
    <row r="3614">
      <c r="A3614" s="0" t="inlineStr">
        <is>
          <t>Bài 40</t>
        </is>
      </c>
      <c r="B3614" s="0" t="inlineStr">
        <is>
          <t>竞赛</t>
        </is>
      </c>
      <c r="C3614" s="0" t="inlineStr">
        <is>
          <t>jìngsài</t>
        </is>
      </c>
      <c r="D3614" s="0" t="inlineStr">
        <is>
          <t>比赛，争胜负</t>
        </is>
      </c>
      <c r="E3614" s="0" t="inlineStr">
        <is>
          <t>thi đấu, cuộc thi</t>
        </is>
      </c>
      <c r="F3614" s="0" t="inlineStr">
        <is>
          <t>学校举办了一次中文朗诵竞赛，我的学生也报名了。</t>
        </is>
      </c>
      <c r="G3614" s="0" t="inlineStr"/>
      <c r="H3614" s="0" t="inlineStr"/>
    </row>
    <row r="3615">
      <c r="A3615" s="0" t="inlineStr">
        <is>
          <t>Bài 40</t>
        </is>
      </c>
      <c r="B3615" s="0" t="inlineStr">
        <is>
          <t>优先</t>
        </is>
      </c>
      <c r="C3615" s="0" t="inlineStr">
        <is>
          <t>yōuxiān</t>
        </is>
      </c>
      <c r="D3615" s="0" t="inlineStr">
        <is>
          <t>排在最前面，先考虑</t>
        </is>
      </c>
      <c r="E3615" s="0" t="inlineStr">
        <is>
          <t>ưu tiên</t>
        </is>
      </c>
      <c r="F3615" s="0" t="inlineStr">
        <is>
          <t>时间不够的时候，我会优先复习自己最薄弱的听力。</t>
        </is>
      </c>
      <c r="G3615" s="0" t="inlineStr"/>
      <c r="H3615" s="0" t="inlineStr"/>
    </row>
    <row r="3616">
      <c r="A3616" s="0" t="inlineStr">
        <is>
          <t>Bài 40</t>
        </is>
      </c>
      <c r="B3616" s="0" t="inlineStr">
        <is>
          <t>选拔</t>
        </is>
      </c>
      <c r="C3616" s="0" t="inlineStr">
        <is>
          <t>xuǎnbá</t>
        </is>
      </c>
      <c r="D3616" s="0" t="inlineStr">
        <is>
          <t>从很多人中挑选出优秀的</t>
        </is>
      </c>
      <c r="E3616" s="0" t="inlineStr">
        <is>
          <t>tuyển chọn, chọn lọc</t>
        </is>
      </c>
      <c r="F3616" s="0" t="inlineStr">
        <is>
          <t>学校选拔了几个学生代表去参加中文演讲比赛。</t>
        </is>
      </c>
      <c r="G3616" s="0" t="inlineStr"/>
      <c r="H3616" s="0" t="inlineStr"/>
    </row>
    <row r="3617">
      <c r="A3617" s="0" t="inlineStr">
        <is>
          <t>Bài 40</t>
        </is>
      </c>
      <c r="B3617" s="0" t="inlineStr">
        <is>
          <t>资产</t>
        </is>
      </c>
      <c r="C3617" s="0" t="inlineStr">
        <is>
          <t>zīchǎn</t>
        </is>
      </c>
      <c r="D3617" s="0" t="inlineStr">
        <is>
          <t>拥有的财产、资源</t>
        </is>
      </c>
      <c r="E3617" s="0" t="inlineStr">
        <is>
          <t>tài sản</t>
        </is>
      </c>
      <c r="F3617" s="0" t="inlineStr">
        <is>
          <t>老师常说，语言能力是最保值的个人资产。</t>
        </is>
      </c>
      <c r="G3617" s="0" t="inlineStr"/>
      <c r="H3617" s="0" t="inlineStr"/>
    </row>
    <row r="3618">
      <c r="A3618" s="0" t="inlineStr">
        <is>
          <t>Bài 40</t>
        </is>
      </c>
      <c r="B3618" s="0" t="inlineStr">
        <is>
          <t>得天独厚</t>
        </is>
      </c>
      <c r="C3618" s="0" t="inlineStr">
        <is>
          <t>détiāndúhòu</t>
        </is>
      </c>
      <c r="D3618" s="0" t="inlineStr">
        <is>
          <t>先天条件特别优越</t>
        </is>
      </c>
      <c r="E3618" s="0" t="inlineStr">
        <is>
          <t>có điều kiện thiên phú, ưu thế bẩm sinh</t>
        </is>
      </c>
      <c r="F3618" s="0" t="inlineStr">
        <is>
          <t>从小在双语环境长大的孩子，学外语真的得天独厚。</t>
        </is>
      </c>
      <c r="G3618" s="0" t="inlineStr"/>
      <c r="H3618" s="0" t="inlineStr"/>
    </row>
    <row r="3619">
      <c r="A3619" s="0" t="inlineStr">
        <is>
          <t>Bài 40</t>
        </is>
      </c>
      <c r="B3619" s="0" t="inlineStr">
        <is>
          <t>作风</t>
        </is>
      </c>
      <c r="C3619" s="0" t="inlineStr">
        <is>
          <t>zuòfēng</t>
        </is>
      </c>
      <c r="D3619" s="0" t="inlineStr">
        <is>
          <t>一贯表现出来的态度、行事方式</t>
        </is>
      </c>
      <c r="E3619" s="0" t="inlineStr">
        <is>
          <t>tác phong, phong cách làm việc</t>
        </is>
      </c>
      <c r="F3619" s="0" t="inlineStr">
        <is>
          <t>那位老师做事认真严谨的作风，一直是我学习的榜样。</t>
        </is>
      </c>
      <c r="G3619" s="0" t="inlineStr"/>
      <c r="H3619" s="0" t="inlineStr"/>
    </row>
    <row r="3620">
      <c r="A3620" s="0" t="inlineStr">
        <is>
          <t>Bài 40</t>
        </is>
      </c>
      <c r="B3620" s="0" t="inlineStr">
        <is>
          <t>顽强</t>
        </is>
      </c>
      <c r="C3620" s="0" t="inlineStr">
        <is>
          <t>wánqiáng</t>
        </is>
      </c>
      <c r="D3620" s="0" t="inlineStr">
        <is>
          <t>坚持不懈，不轻易屈服</t>
        </is>
      </c>
      <c r="E3620" s="0" t="inlineStr">
        <is>
          <t>kiên cường, ngoan cường</t>
        </is>
      </c>
      <c r="F3620" s="0" t="inlineStr">
        <is>
          <t>备考这几个月，靠的就是一股顽强的劲头。</t>
        </is>
      </c>
      <c r="G3620" s="0" t="inlineStr"/>
      <c r="H3620" s="0" t="inlineStr"/>
    </row>
    <row r="3621">
      <c r="A3621" s="0" t="inlineStr">
        <is>
          <t>Bài 40</t>
        </is>
      </c>
      <c r="B3621" s="0" t="inlineStr">
        <is>
          <t>志气</t>
        </is>
      </c>
      <c r="C3621" s="0" t="inlineStr">
        <is>
          <t>zhìqì</t>
        </is>
      </c>
      <c r="D3621" s="0" t="inlineStr">
        <is>
          <t>积极向上、想要成功的决心</t>
        </is>
      </c>
      <c r="E3621" s="0" t="inlineStr">
        <is>
          <t>chí khí, ý chí phấn đấu</t>
        </is>
      </c>
      <c r="F3621" s="0" t="inlineStr">
        <is>
          <t>老师常鼓励我们，别看基础差，要有志气坚持下去。</t>
        </is>
      </c>
      <c r="G3621" s="0" t="inlineStr"/>
      <c r="H3621" s="0" t="inlineStr"/>
    </row>
    <row r="3622">
      <c r="A3622" s="0" t="inlineStr">
        <is>
          <t>Bài 40</t>
        </is>
      </c>
      <c r="B3622" s="0" t="inlineStr">
        <is>
          <t>屈服</t>
        </is>
      </c>
      <c r="C3622" s="0" t="inlineStr">
        <is>
          <t>qūfú</t>
        </is>
      </c>
      <c r="D3622" s="0" t="inlineStr">
        <is>
          <t>在压力下放弃抵抗，妥协</t>
        </is>
      </c>
      <c r="E3622" s="0" t="inlineStr">
        <is>
          <t>khuất phục, chịu thua</t>
        </is>
      </c>
      <c r="F3622" s="0" t="inlineStr">
        <is>
          <t>遇到难的语法点，我从不轻易屈服，一定要弄懂才罢休。</t>
        </is>
      </c>
      <c r="G3622" s="0" t="inlineStr"/>
      <c r="H3622" s="0" t="inlineStr"/>
    </row>
    <row r="3623">
      <c r="A3623" s="0" t="inlineStr">
        <is>
          <t>Bài 40</t>
        </is>
      </c>
      <c r="B3623" s="0" t="inlineStr">
        <is>
          <t>依托</t>
        </is>
      </c>
      <c r="C3623" s="0" t="inlineStr">
        <is>
          <t>yītuō</t>
        </is>
      </c>
      <c r="D3623" s="0" t="inlineStr">
        <is>
          <t>依靠、凭借某种条件</t>
        </is>
      </c>
      <c r="E3623" s="0" t="inlineStr">
        <is>
          <t>dựa vào, nương tựa</t>
        </is>
      </c>
      <c r="F3623" s="0" t="inlineStr">
        <is>
          <t>我学口语主要依托跟中国同事日常聊天的机会。</t>
        </is>
      </c>
      <c r="G3623" s="0" t="inlineStr"/>
      <c r="H3623" s="0" t="inlineStr"/>
    </row>
    <row r="3624">
      <c r="A3624" s="0" t="inlineStr">
        <is>
          <t>Bài 40</t>
        </is>
      </c>
      <c r="B3624" s="0" t="inlineStr">
        <is>
          <t>装备</t>
        </is>
      </c>
      <c r="C3624" s="0" t="inlineStr">
        <is>
          <t>zhuāngbèi</t>
        </is>
      </c>
      <c r="D3624" s="0" t="inlineStr">
        <is>
          <t>配备（工具、设备）</t>
        </is>
      </c>
      <c r="E3624" s="0" t="inlineStr">
        <is>
          <t>trang bị</t>
        </is>
      </c>
      <c r="F3624" s="0" t="inlineStr">
        <is>
          <t>备考期间，我给自己装备了好几本真题集和一个复习APP。</t>
        </is>
      </c>
      <c r="G3624" s="0" t="inlineStr"/>
      <c r="H3624" s="0" t="inlineStr"/>
    </row>
    <row r="3625">
      <c r="A3625" s="0" t="inlineStr">
        <is>
          <t>Bài 40</t>
        </is>
      </c>
      <c r="B3625" s="0" t="inlineStr">
        <is>
          <t>战术</t>
        </is>
      </c>
      <c r="C3625" s="0" t="inlineStr">
        <is>
          <t>zhànshù</t>
        </is>
      </c>
      <c r="D3625" s="0" t="inlineStr">
        <is>
          <t>具体的作战或应对方法</t>
        </is>
      </c>
      <c r="E3625" s="0" t="inlineStr">
        <is>
          <t>chiến thuật</t>
        </is>
      </c>
      <c r="F3625" s="0" t="inlineStr">
        <is>
          <t>考试时间不够用的话，我会用先易后难的答题战术。</t>
        </is>
      </c>
      <c r="G3625" s="0" t="inlineStr"/>
      <c r="H3625" s="0" t="inlineStr"/>
    </row>
    <row r="3626">
      <c r="A3626" s="0" t="inlineStr">
        <is>
          <t>Bài 40</t>
        </is>
      </c>
      <c r="B3626" s="0" t="inlineStr">
        <is>
          <t>悬崖峭壁</t>
        </is>
      </c>
      <c r="C3626" s="0" t="inlineStr">
        <is>
          <t>xuányáqiàobì</t>
        </is>
      </c>
      <c r="D3626" s="0" t="inlineStr">
        <is>
          <t>又高又陡的山崖，比喻极大的困难</t>
        </is>
      </c>
      <c r="E3626" s="0" t="inlineStr">
        <is>
          <t>vách núi dựng đứng (ví khó khăn lớn)</t>
        </is>
      </c>
      <c r="F3626" s="0" t="inlineStr">
        <is>
          <t>对我来说，HSK6写作曾经就像一道悬崖峭壁，怎么也翻不过去。</t>
        </is>
      </c>
      <c r="G3626" s="0" t="inlineStr"/>
      <c r="H3626" s="0" t="inlineStr"/>
    </row>
    <row r="3627">
      <c r="A3627" s="0" t="inlineStr">
        <is>
          <t>Bài 40</t>
        </is>
      </c>
      <c r="B3627" s="0" t="inlineStr">
        <is>
          <t>涌现</t>
        </is>
      </c>
      <c r="C3627" s="0" t="inlineStr">
        <is>
          <t>yǒngxiàn</t>
        </is>
      </c>
      <c r="D3627" s="0" t="inlineStr">
        <is>
          <t>大量、集中地出现</t>
        </is>
      </c>
      <c r="E3627" s="0" t="inlineStr">
        <is>
          <t>xuất hiện hàng loạt, nổi lên</t>
        </is>
      </c>
      <c r="F3627" s="0" t="inlineStr">
        <is>
          <t>这几年网上涌现出不少优质的中文学习资源。</t>
        </is>
      </c>
      <c r="G3627" s="0" t="inlineStr"/>
      <c r="H3627" s="0" t="inlineStr"/>
    </row>
    <row r="3628">
      <c r="A3628" s="0" t="inlineStr">
        <is>
          <t>Bài 40</t>
        </is>
      </c>
      <c r="B3628" s="0" t="inlineStr">
        <is>
          <t>相辅相成</t>
        </is>
      </c>
      <c r="C3628" s="0" t="inlineStr">
        <is>
          <t>xiāngfǔxiāngchéng</t>
        </is>
      </c>
      <c r="D3628" s="0" t="inlineStr">
        <is>
          <t>两件事互相配合、互相促进</t>
        </is>
      </c>
      <c r="E3628" s="0" t="inlineStr">
        <is>
          <t>hỗ trợ lẫn nhau, tương hỗ</t>
        </is>
      </c>
      <c r="F3628" s="0" t="inlineStr">
        <is>
          <t>背单词和多读课文相辅相成，缺一个进步都会慢。</t>
        </is>
      </c>
      <c r="G3628" s="0" t="inlineStr"/>
      <c r="H3628" s="0" t="inlineStr"/>
    </row>
    <row r="3629">
      <c r="A3629" t="inlineStr">
        <is>
          <t>Linh tinh</t>
        </is>
      </c>
      <c r="B3629" t="inlineStr">
        <is>
          <t>一鸣惊人</t>
        </is>
      </c>
      <c r="C3629" t="inlineStr">
        <is>
          <t>yìmíngjīngrén</t>
        </is>
      </c>
      <c r="D3629" t="inlineStr">
        <is>
          <t>平时默默无闻，一做事就取得惊人的成绩</t>
        </is>
      </c>
      <c r="E3629" t="inlineStr">
        <is>
          <t>bỗng nhiên nổi tiếng, một lần làm nên chuyện kinh người</t>
        </is>
      </c>
      <c r="F3629" t="inlineStr">
        <is>
          <t>他练了三年口语，没想到在比赛里一鸣惊人，拿了第一名。</t>
        </is>
      </c>
      <c r="G3629" t="inlineStr"/>
      <c r="H3629" t="inlineStr"/>
    </row>
    <row r="3630">
      <c r="A3630" t="inlineStr">
        <is>
          <t>Linh tinh</t>
        </is>
      </c>
      <c r="B3630" t="inlineStr">
        <is>
          <t>世界屋脊</t>
        </is>
      </c>
      <c r="C3630" t="inlineStr">
        <is>
          <t>shìjièwūjǐ</t>
        </is>
      </c>
      <c r="D3630" t="inlineStr">
        <is>
          <t>指青藏高原，因为地势极高</t>
        </is>
      </c>
      <c r="E3630" t="inlineStr">
        <is>
          <t>nóc nhà thế giới (chỉ cao nguyên Thanh Tạng)</t>
        </is>
      </c>
      <c r="F3630" t="inlineStr">
        <is>
          <t>我一直想去世界屋脊看看，亲眼看看那里的雪山和蓝天。</t>
        </is>
      </c>
      <c r="G3630" t="inlineStr"/>
      <c r="H3630" t="inlineStr"/>
    </row>
    <row r="3631">
      <c r="A3631" t="inlineStr">
        <is>
          <t>Linh tinh</t>
        </is>
      </c>
      <c r="B3631" t="inlineStr">
        <is>
          <t>具备</t>
        </is>
      </c>
      <c r="C3631" t="inlineStr">
        <is>
          <t>jùbèi</t>
        </is>
      </c>
      <c r="D3631" t="inlineStr">
        <is>
          <t>拥有（某种条件或能力）</t>
        </is>
      </c>
      <c r="E3631" t="inlineStr">
        <is>
          <t>có đủ, có đầy đủ (điều kiện hoặc năng lực)</t>
        </is>
      </c>
      <c r="F3631" t="inlineStr">
        <is>
          <t>想考HSK6，得先具备一定的词汇量和阅读速度。</t>
        </is>
      </c>
      <c r="G3631" t="inlineStr"/>
      <c r="H3631" t="inlineStr"/>
    </row>
    <row r="3632">
      <c r="A3632" t="inlineStr">
        <is>
          <t>Linh tinh</t>
        </is>
      </c>
      <c r="B3632" t="inlineStr">
        <is>
          <t>冲突</t>
        </is>
      </c>
      <c r="C3632" t="inlineStr">
        <is>
          <t>chōngtū</t>
        </is>
      </c>
      <c r="D3632" t="inlineStr">
        <is>
          <t>双方意见或利益不一致，产生矛盾</t>
        </is>
      </c>
      <c r="E3632" t="inlineStr">
        <is>
          <t>xung đột, mâu thuẫn</t>
        </is>
      </c>
      <c r="F3632" t="inlineStr">
        <is>
          <t>这周的课和公司的会议时间冲突了，我只好请假。</t>
        </is>
      </c>
      <c r="G3632" t="inlineStr"/>
      <c r="H3632" t="inlineStr"/>
    </row>
    <row r="3633">
      <c r="A3633" t="inlineStr">
        <is>
          <t>Linh tinh</t>
        </is>
      </c>
      <c r="B3633" t="inlineStr">
        <is>
          <t>喧嚣</t>
        </is>
      </c>
      <c r="C3633" t="inlineStr">
        <is>
          <t>xuānxiāo</t>
        </is>
      </c>
      <c r="D3633" t="inlineStr">
        <is>
          <t>声音杂乱、吵闹</t>
        </is>
      </c>
      <c r="E3633" t="inlineStr">
        <is>
          <t>ồn ào, huyên náo</t>
        </is>
      </c>
      <c r="F3633" t="inlineStr">
        <is>
          <t>城市里太喧嚣了，我周末就想找个安静的地方背单词。</t>
        </is>
      </c>
      <c r="G3633" t="inlineStr"/>
      <c r="H3633" t="inlineStr"/>
    </row>
    <row r="3634">
      <c r="A3634" t="inlineStr">
        <is>
          <t>Linh tinh</t>
        </is>
      </c>
      <c r="B3634" t="inlineStr">
        <is>
          <t>天下皆知</t>
        </is>
      </c>
      <c r="C3634" t="inlineStr">
        <is>
          <t>tiānxiàjiēzhī</t>
        </is>
      </c>
      <c r="D3634" t="inlineStr">
        <is>
          <t>世界上的人都知道，形容非常有名</t>
        </is>
      </c>
      <c r="E3634" t="inlineStr">
        <is>
          <t>ai ai cũng biết, nổi tiếng khắp nơi</t>
        </is>
      </c>
      <c r="F3634" t="inlineStr">
        <is>
          <t>他欠钱不还这件事，在我们这儿已经天下皆知了。</t>
        </is>
      </c>
      <c r="G3634" t="inlineStr"/>
      <c r="H3634" t="inlineStr"/>
    </row>
    <row r="3635">
      <c r="A3635" t="inlineStr">
        <is>
          <t>Linh tinh</t>
        </is>
      </c>
      <c r="B3635" t="inlineStr">
        <is>
          <t>头晕</t>
        </is>
      </c>
      <c r="C3635" t="inlineStr">
        <is>
          <t>tóuyūn</t>
        </is>
      </c>
      <c r="D3635" t="inlineStr">
        <is>
          <t>头脑发昏，感觉天旋地转</t>
        </is>
      </c>
      <c r="E3635" t="inlineStr">
        <is>
          <t>chóng mặt, choáng đầu</t>
        </is>
      </c>
      <c r="F3635" t="inlineStr">
        <is>
          <t>连着做了三套真题，我做完直接头晕了。</t>
        </is>
      </c>
      <c r="G3635" t="inlineStr"/>
      <c r="H3635" t="inlineStr"/>
    </row>
    <row r="3636">
      <c r="A3636" t="inlineStr">
        <is>
          <t>Linh tinh</t>
        </is>
      </c>
      <c r="B3636" t="inlineStr">
        <is>
          <t>契机</t>
        </is>
      </c>
      <c r="C3636" t="inlineStr">
        <is>
          <t>qìjī</t>
        </is>
      </c>
      <c r="D3636" t="inlineStr">
        <is>
          <t>事情发生转变的关键时机</t>
        </is>
      </c>
      <c r="E3636" t="inlineStr">
        <is>
          <t>cơ hội, thời cơ then chốt</t>
        </is>
      </c>
      <c r="F3636" t="inlineStr">
        <is>
          <t>那次考试没过，反而成了我认真练口语的契机。</t>
        </is>
      </c>
      <c r="G3636" t="inlineStr"/>
      <c r="H3636" t="inlineStr"/>
    </row>
    <row r="3637">
      <c r="A3637" t="inlineStr">
        <is>
          <t>Linh tinh</t>
        </is>
      </c>
      <c r="B3637" t="inlineStr">
        <is>
          <t>媒介</t>
        </is>
      </c>
      <c r="C3637" t="inlineStr">
        <is>
          <t>méijiè</t>
        </is>
      </c>
      <c r="D3637" t="inlineStr">
        <is>
          <t>使双方发生联系的中间事物</t>
        </is>
      </c>
      <c r="E3637" t="inlineStr">
        <is>
          <t>môi trường trung gian, phương tiện truyền thông</t>
        </is>
      </c>
      <c r="F3637" t="inlineStr">
        <is>
          <t>现在大家都靠短视频这个媒介来了解新闻。</t>
        </is>
      </c>
      <c r="G3637" t="inlineStr"/>
      <c r="H3637" t="inlineStr"/>
    </row>
    <row r="3638">
      <c r="A3638" t="inlineStr">
        <is>
          <t>Linh tinh</t>
        </is>
      </c>
      <c r="B3638" t="inlineStr">
        <is>
          <t>孔雀</t>
        </is>
      </c>
      <c r="C3638" t="inlineStr">
        <is>
          <t>kǒngquè</t>
        </is>
      </c>
      <c r="D3638" t="inlineStr">
        <is>
          <t>一种鸟，雄鸟的尾巴羽毛很漂亮，能展开</t>
        </is>
      </c>
      <c r="E3638" t="inlineStr">
        <is>
          <t>con công</t>
        </is>
      </c>
      <c r="F3638" t="inlineStr">
        <is>
          <t>动物园里的孔雀一开屏，周围的游客都拿出手机拍照。</t>
        </is>
      </c>
      <c r="G3638" t="inlineStr"/>
      <c r="H3638" t="inlineStr"/>
    </row>
    <row r="3639">
      <c r="A3639" t="inlineStr">
        <is>
          <t>Linh tinh</t>
        </is>
      </c>
      <c r="B3639" t="inlineStr">
        <is>
          <t>官印</t>
        </is>
      </c>
      <c r="C3639" t="inlineStr">
        <is>
          <t>guānyìn</t>
        </is>
      </c>
      <c r="D3639" t="inlineStr">
        <is>
          <t>古代官员用来表示权力的印章</t>
        </is>
      </c>
      <c r="E3639" t="inlineStr">
        <is>
          <t>con dấu quan chức, ấn quan</t>
        </is>
      </c>
      <c r="F3639" t="inlineStr">
        <is>
          <t>电视剧里，那个县官把官印往桌上一放，大家都不敢出声。</t>
        </is>
      </c>
      <c r="G3639" t="inlineStr"/>
      <c r="H3639" t="inlineStr"/>
    </row>
    <row r="3640">
      <c r="A3640" t="inlineStr">
        <is>
          <t>Linh tinh</t>
        </is>
      </c>
      <c r="B3640" t="inlineStr">
        <is>
          <t>宰相</t>
        </is>
      </c>
      <c r="C3640" t="inlineStr">
        <is>
          <t>zǎixiàng</t>
        </is>
      </c>
      <c r="D3640" t="inlineStr">
        <is>
          <t>古代皇帝之下地位最高的大臣</t>
        </is>
      </c>
      <c r="E3640" t="inlineStr">
        <is>
          <t>tể tướng</t>
        </is>
      </c>
      <c r="F3640" t="inlineStr">
        <is>
          <t>我最近在看一部历史剧，里面的宰相特别聪明。</t>
        </is>
      </c>
      <c r="G3640" t="inlineStr"/>
      <c r="H3640" t="inlineStr"/>
    </row>
    <row r="3641">
      <c r="A3641" t="inlineStr">
        <is>
          <t>Linh tinh</t>
        </is>
      </c>
      <c r="B3641" t="inlineStr">
        <is>
          <t>屏障</t>
        </is>
      </c>
      <c r="C3641" t="inlineStr">
        <is>
          <t>píngzhàng</t>
        </is>
      </c>
      <c r="D3641" t="inlineStr">
        <is>
          <t>起遮挡、保护作用的东西</t>
        </is>
      </c>
      <c r="E3641" t="inlineStr">
        <is>
          <t>lá chắn, hàng rào bảo vệ</t>
        </is>
      </c>
      <c r="F3641" t="inlineStr">
        <is>
          <t>这片森林是小镇天然的屏障，挡住了冬天的大风。</t>
        </is>
      </c>
      <c r="G3641" t="inlineStr"/>
      <c r="H3641" t="inlineStr"/>
    </row>
    <row r="3642">
      <c r="A3642" t="inlineStr">
        <is>
          <t>Linh tinh</t>
        </is>
      </c>
      <c r="B3642" t="inlineStr">
        <is>
          <t>征服</t>
        </is>
      </c>
      <c r="C3642" t="inlineStr">
        <is>
          <t>zhēngfú</t>
        </is>
      </c>
      <c r="D3642" t="inlineStr">
        <is>
          <t>用力量或努力使对方屈服，或克服困难</t>
        </is>
      </c>
      <c r="E3642" t="inlineStr">
        <is>
          <t>chinh phục</t>
        </is>
      </c>
      <c r="F3642" t="inlineStr">
        <is>
          <t>我的目标是先征服HSK6，再去征服HSKK高级。</t>
        </is>
      </c>
      <c r="G3642" t="inlineStr"/>
      <c r="H3642" t="inlineStr"/>
    </row>
    <row r="3643">
      <c r="A3643" t="inlineStr">
        <is>
          <t>Linh tinh</t>
        </is>
      </c>
      <c r="B3643" t="inlineStr">
        <is>
          <t>恭恭敬敬</t>
        </is>
      </c>
      <c r="C3643" t="inlineStr">
        <is>
          <t>gōnggōngjìngjìng</t>
        </is>
      </c>
      <c r="D3643" t="inlineStr">
        <is>
          <t>形容态度非常有礼貌、尊敬</t>
        </is>
      </c>
      <c r="E3643" t="inlineStr">
        <is>
          <t>cung kính, kính cẩn</t>
        </is>
      </c>
      <c r="F3643" t="inlineStr">
        <is>
          <t>见到老师，他恭恭敬敬地鞠了一个躬。</t>
        </is>
      </c>
      <c r="G3643" t="inlineStr"/>
      <c r="H3643" t="inlineStr"/>
    </row>
    <row r="3644">
      <c r="A3644" t="inlineStr">
        <is>
          <t>Linh tinh</t>
        </is>
      </c>
      <c r="B3644" t="inlineStr">
        <is>
          <t>愤愤不平</t>
        </is>
      </c>
      <c r="C3644" t="inlineStr">
        <is>
          <t>fènfènbùpíng</t>
        </is>
      </c>
      <c r="D3644" t="inlineStr">
        <is>
          <t>心里很生气，觉得不公平</t>
        </is>
      </c>
      <c r="E3644" t="inlineStr">
        <is>
          <t>bất bình, ấm ức</t>
        </is>
      </c>
      <c r="F3644" t="inlineStr">
        <is>
          <t>同事的功劳被抢了，他回家还一直愤愤不平。</t>
        </is>
      </c>
      <c r="G3644" t="inlineStr"/>
      <c r="H3644" t="inlineStr"/>
    </row>
    <row r="3645">
      <c r="A3645" t="inlineStr">
        <is>
          <t>Linh tinh</t>
        </is>
      </c>
      <c r="B3645" t="inlineStr">
        <is>
          <t>打草惊蛇</t>
        </is>
      </c>
      <c r="C3645" t="inlineStr">
        <is>
          <t>dǎcǎojīngshé</t>
        </is>
      </c>
      <c r="D3645" t="inlineStr">
        <is>
          <t>行动不小心，让对方发现并提高警惕</t>
        </is>
      </c>
      <c r="E3645" t="inlineStr">
        <is>
          <t>đánh động đối phương, khiến họ cảnh giác</t>
        </is>
      </c>
      <c r="F3645" t="inlineStr">
        <is>
          <t>咱们先别直接去问，免得打草惊蛇，让他提前有准备。</t>
        </is>
      </c>
      <c r="G3645" t="inlineStr"/>
      <c r="H3645" t="inlineStr"/>
    </row>
    <row r="3646">
      <c r="A3646" t="inlineStr">
        <is>
          <t>Linh tinh</t>
        </is>
      </c>
      <c r="B3646" t="inlineStr">
        <is>
          <t>扼杀</t>
        </is>
      </c>
      <c r="C3646" t="inlineStr">
        <is>
          <t>èshā</t>
        </is>
      </c>
      <c r="D3646" t="inlineStr">
        <is>
          <t>用强力压制，使不能存在或发展</t>
        </is>
      </c>
      <c r="E3646" t="inlineStr">
        <is>
          <t>bóp chết, hủy diệt</t>
        </is>
      </c>
      <c r="F3646" t="inlineStr">
        <is>
          <t>批评太多会扼杀孩子的好奇心，说话还是得注意。</t>
        </is>
      </c>
      <c r="G3646" t="inlineStr"/>
      <c r="H3646" t="inlineStr"/>
    </row>
    <row r="3647">
      <c r="A3647" t="inlineStr">
        <is>
          <t>Linh tinh</t>
        </is>
      </c>
      <c r="B3647" t="inlineStr">
        <is>
          <t>挥汗如雨</t>
        </is>
      </c>
      <c r="C3647" t="inlineStr">
        <is>
          <t>huīhànrúyǔ</t>
        </is>
      </c>
      <c r="D3647" t="inlineStr">
        <is>
          <t>形容出汗很多，像下雨一样</t>
        </is>
      </c>
      <c r="E3647" t="inlineStr">
        <is>
          <t>đổ mồ hôi như mưa, mồ hôi đầm đìa</t>
        </is>
      </c>
      <c r="F3647" t="inlineStr">
        <is>
          <t>夏天跑完八百米，大家都挥汗如雨，衣服全湿透了。</t>
        </is>
      </c>
      <c r="G3647" t="inlineStr"/>
      <c r="H3647" t="inlineStr"/>
    </row>
    <row r="3648">
      <c r="A3648" t="inlineStr">
        <is>
          <t>Linh tinh</t>
        </is>
      </c>
      <c r="B3648" t="inlineStr">
        <is>
          <t>摇篮</t>
        </is>
      </c>
      <c r="C3648" t="inlineStr">
        <is>
          <t>yáolán</t>
        </is>
      </c>
      <c r="D3648" t="inlineStr">
        <is>
          <t>婴儿睡觉用的小床；比喻事物的发源地</t>
        </is>
      </c>
      <c r="E3648" t="inlineStr">
        <is>
          <t>cái nôi; nơi khởi nguồn, nuôi dưỡng</t>
        </is>
      </c>
      <c r="F3648" t="inlineStr">
        <is>
          <t>长江和黄河是中华文明的摇篮。</t>
        </is>
      </c>
      <c r="G3648" t="inlineStr"/>
      <c r="H3648" t="inlineStr"/>
    </row>
    <row r="3649">
      <c r="A3649" t="inlineStr">
        <is>
          <t>Linh tinh</t>
        </is>
      </c>
      <c r="B3649" t="inlineStr">
        <is>
          <t>敬畏</t>
        </is>
      </c>
      <c r="C3649" t="inlineStr">
        <is>
          <t>jìngwèi</t>
        </is>
      </c>
      <c r="D3649" t="inlineStr">
        <is>
          <t>又尊敬又害怕的心情</t>
        </is>
      </c>
      <c r="E3649" t="inlineStr">
        <is>
          <t>lòng kính sợ, sự kính nể</t>
        </is>
      </c>
      <c r="F3649" t="inlineStr">
        <is>
          <t>站在大山面前，我心里不由得对大自然产生敬畏。</t>
        </is>
      </c>
      <c r="G3649" t="inlineStr"/>
      <c r="H3649" t="inlineStr"/>
    </row>
    <row r="3650">
      <c r="A3650" t="inlineStr">
        <is>
          <t>Linh tinh</t>
        </is>
      </c>
      <c r="B3650" t="inlineStr">
        <is>
          <t>曝晒</t>
        </is>
      </c>
      <c r="C3650" t="inlineStr">
        <is>
          <t>pùshài</t>
        </is>
      </c>
      <c r="D3650" t="inlineStr">
        <is>
          <t>在强烈的阳光下长时间晒</t>
        </is>
      </c>
      <c r="E3650" t="inlineStr">
        <is>
          <t>phơi dưới nắng gay gắt</t>
        </is>
      </c>
      <c r="F3650" t="inlineStr">
        <is>
          <t>手机别放在车里曝晒，温度太高容易出问题。</t>
        </is>
      </c>
      <c r="G3650" t="inlineStr"/>
      <c r="H3650" t="inlineStr"/>
    </row>
    <row r="3651">
      <c r="A3651" t="inlineStr">
        <is>
          <t>Linh tinh</t>
        </is>
      </c>
      <c r="B3651" t="inlineStr">
        <is>
          <t>概括</t>
        </is>
      </c>
      <c r="C3651" t="inlineStr">
        <is>
          <t>gàikuò</t>
        </is>
      </c>
      <c r="D3651" t="inlineStr">
        <is>
          <t>把主要内容简单地总结出来</t>
        </is>
      </c>
      <c r="E3651" t="inlineStr">
        <is>
          <t>khái quát, tóm tắt</t>
        </is>
      </c>
      <c r="F3651" t="inlineStr">
        <is>
          <t>写HSK6缩写的时候，关键是要学会概括每段的主要意思。</t>
        </is>
      </c>
      <c r="G3651" t="inlineStr"/>
      <c r="H3651" t="inlineStr"/>
    </row>
    <row r="3652">
      <c r="A3652" t="inlineStr">
        <is>
          <t>Linh tinh</t>
        </is>
      </c>
      <c r="B3652" t="inlineStr">
        <is>
          <t>横杆</t>
        </is>
      </c>
      <c r="C3652" t="inlineStr">
        <is>
          <t>hénggān</t>
        </is>
      </c>
      <c r="D3652" t="inlineStr">
        <is>
          <t>横着放的杆子</t>
        </is>
      </c>
      <c r="E3652" t="inlineStr">
        <is>
          <t>xà ngang, thanh ngang (trong nhảy cao)</t>
        </is>
      </c>
      <c r="F3652" t="inlineStr">
        <is>
          <t>跳高比赛里，他一次又一次地碰掉了横杆。</t>
        </is>
      </c>
      <c r="G3652" t="inlineStr"/>
      <c r="H3652" t="inlineStr"/>
    </row>
    <row r="3653">
      <c r="A3653" t="inlineStr">
        <is>
          <t>Linh tinh</t>
        </is>
      </c>
      <c r="B3653" t="inlineStr">
        <is>
          <t>溶剂</t>
        </is>
      </c>
      <c r="C3653" t="inlineStr">
        <is>
          <t>róngjì</t>
        </is>
      </c>
      <c r="D3653" t="inlineStr">
        <is>
          <t>能溶解其他物质的液体</t>
        </is>
      </c>
      <c r="E3653" t="inlineStr">
        <is>
          <t>dung môi</t>
        </is>
      </c>
      <c r="F3653" t="inlineStr">
        <is>
          <t>这种溶剂气味很大，用的时候要把窗户打开。</t>
        </is>
      </c>
      <c r="G3653" t="inlineStr"/>
      <c r="H3653" t="inlineStr"/>
    </row>
    <row r="3654">
      <c r="A3654" t="inlineStr">
        <is>
          <t>Linh tinh</t>
        </is>
      </c>
      <c r="B3654" t="inlineStr">
        <is>
          <t>狡猾</t>
        </is>
      </c>
      <c r="C3654" t="inlineStr">
        <is>
          <t>jiǎohuá</t>
        </is>
      </c>
      <c r="D3654" t="inlineStr">
        <is>
          <t>聪明但不老实，爱耍手段</t>
        </is>
      </c>
      <c r="E3654" t="inlineStr">
        <is>
          <t>khôn khéo, ranh mãnh, xảo quyệt</t>
        </is>
      </c>
      <c r="F3654" t="inlineStr">
        <is>
          <t>故事里的狐狸总是很狡猾，每次都骗过了别人。</t>
        </is>
      </c>
      <c r="G3654" t="inlineStr"/>
      <c r="H3654" t="inlineStr"/>
    </row>
    <row r="3655">
      <c r="A3655" t="inlineStr">
        <is>
          <t>Linh tinh</t>
        </is>
      </c>
      <c r="B3655" t="inlineStr">
        <is>
          <t>环纹</t>
        </is>
      </c>
      <c r="C3655" t="inlineStr">
        <is>
          <t>huánwén</t>
        </is>
      </c>
      <c r="D3655" t="inlineStr">
        <is>
          <t>圆圈形状的花纹</t>
        </is>
      </c>
      <c r="E3655" t="inlineStr">
        <is>
          <t>vân vòng, hoa văn hình vòng</t>
        </is>
      </c>
      <c r="F3655" t="inlineStr">
        <is>
          <t>树桩上的环纹一圈一圈的，数一数就知道树长了多少年。</t>
        </is>
      </c>
      <c r="G3655" t="inlineStr"/>
      <c r="H3655" t="inlineStr"/>
    </row>
    <row r="3656">
      <c r="A3656" t="inlineStr">
        <is>
          <t>Linh tinh</t>
        </is>
      </c>
      <c r="B3656" t="inlineStr">
        <is>
          <t>确凿</t>
        </is>
      </c>
      <c r="C3656" t="inlineStr">
        <is>
          <t>quèzáo</t>
        </is>
      </c>
      <c r="D3656" t="inlineStr">
        <is>
          <t>非常确实，证据充分</t>
        </is>
      </c>
      <c r="E3656" t="inlineStr">
        <is>
          <t>xác thực, có căn cứ vững chắc</t>
        </is>
      </c>
      <c r="F3656" t="inlineStr">
        <is>
          <t>没有确凿的证据，别随便说是他做的。</t>
        </is>
      </c>
      <c r="G3656" t="inlineStr"/>
      <c r="H3656" t="inlineStr"/>
    </row>
    <row r="3657">
      <c r="A3657" t="inlineStr">
        <is>
          <t>Linh tinh</t>
        </is>
      </c>
      <c r="B3657" t="inlineStr">
        <is>
          <t>细腻</t>
        </is>
      </c>
      <c r="C3657" t="inlineStr">
        <is>
          <t>xìnì</t>
        </is>
      </c>
      <c r="D3657" t="inlineStr">
        <is>
          <t>细致、光滑；感情或描写很细致</t>
        </is>
      </c>
      <c r="E3657" t="inlineStr">
        <is>
          <t>tinh tế, tỉ mỉ, mịn màng</t>
        </is>
      </c>
      <c r="F3657" t="inlineStr">
        <is>
          <t>这篇文章对人物心理的描写特别细腻，读着很有感觉。</t>
        </is>
      </c>
      <c r="G3657" t="inlineStr"/>
      <c r="H3657" t="inlineStr"/>
    </row>
    <row r="3658">
      <c r="A3658" t="inlineStr">
        <is>
          <t>Linh tinh</t>
        </is>
      </c>
      <c r="B3658" t="inlineStr">
        <is>
          <t>耗尽万贯</t>
        </is>
      </c>
      <c r="C3658" t="inlineStr">
        <is>
          <t>hàojìnwànguàn</t>
        </is>
      </c>
      <c r="D3658" t="inlineStr">
        <is>
          <t>把大量的钱财全部花光</t>
        </is>
      </c>
      <c r="E3658" t="inlineStr">
        <is>
          <t>tiêu tốn hết vạn quan tiền, dốc cạn gia sản</t>
        </is>
      </c>
      <c r="F3658" t="inlineStr">
        <is>
          <t>他为了治病耗尽万贯家财，最后什么都没剩下。</t>
        </is>
      </c>
      <c r="G3658" t="inlineStr"/>
      <c r="H3658" t="inlineStr"/>
    </row>
    <row r="3659">
      <c r="A3659" t="inlineStr">
        <is>
          <t>Linh tinh</t>
        </is>
      </c>
      <c r="B3659" t="inlineStr">
        <is>
          <t>走神儿</t>
        </is>
      </c>
      <c r="C3659" t="inlineStr">
        <is>
          <t>zǒushénr</t>
        </is>
      </c>
      <c r="D3659" t="inlineStr">
        <is>
          <t>注意力不集中，想别的事</t>
        </is>
      </c>
      <c r="E3659" t="inlineStr">
        <is>
          <t>mất tập trung, lơ đãng</t>
        </is>
      </c>
      <c r="F3659" t="inlineStr">
        <is>
          <t>早上读文章的时候我老走神儿，看了三遍才看懂。</t>
        </is>
      </c>
      <c r="G3659" t="inlineStr"/>
      <c r="H3659" t="inlineStr"/>
    </row>
    <row r="3660">
      <c r="A3660" t="inlineStr">
        <is>
          <t>Linh tinh</t>
        </is>
      </c>
      <c r="B3660" t="inlineStr">
        <is>
          <t>运转</t>
        </is>
      </c>
      <c r="C3660" t="inlineStr">
        <is>
          <t>yùnzhuàn</t>
        </is>
      </c>
      <c r="D3660" t="inlineStr">
        <is>
          <t>按一定的方式转动或运行</t>
        </is>
      </c>
      <c r="E3660" t="inlineStr">
        <is>
          <t>vận hành, hoạt động</t>
        </is>
      </c>
      <c r="F3660" t="inlineStr">
        <is>
          <t>机器运转了一整天，晚上才停下来检修。</t>
        </is>
      </c>
      <c r="G3660" t="inlineStr"/>
      <c r="H3660" t="inlineStr"/>
    </row>
    <row r="3661">
      <c r="A3661" t="inlineStr">
        <is>
          <t>Linh tinh</t>
        </is>
      </c>
      <c r="B3661" t="inlineStr">
        <is>
          <t>顶峰</t>
        </is>
      </c>
      <c r="C3661" t="inlineStr">
        <is>
          <t>dǐngfēng</t>
        </is>
      </c>
      <c r="D3661" t="inlineStr">
        <is>
          <t>山的最高处；比喻发展的最高点</t>
        </is>
      </c>
      <c r="E3661" t="inlineStr">
        <is>
          <t>đỉnh núi; đỉnh cao</t>
        </is>
      </c>
      <c r="F3661" t="inlineStr">
        <is>
          <t>希望考试那天，我的状态能到达最近的顶峰。</t>
        </is>
      </c>
      <c r="G3661" t="inlineStr"/>
      <c r="H3661" t="inlineStr"/>
    </row>
    <row r="3662">
      <c r="A3662" t="inlineStr">
        <is>
          <t>Linh tinh</t>
        </is>
      </c>
      <c r="B3662" t="inlineStr">
        <is>
          <t>颁奖词</t>
        </is>
      </c>
      <c r="C3662" t="inlineStr">
        <is>
          <t>bānjiǎngcí</t>
        </is>
      </c>
      <c r="D3662" t="inlineStr">
        <is>
          <t>颁奖时宣读的介绍和评语</t>
        </is>
      </c>
      <c r="E3662" t="inlineStr">
        <is>
          <t>lời giới thiệu, nhận xét khi trao giải</t>
        </is>
      </c>
      <c r="F3662" t="inlineStr">
        <is>
          <t>那段颁奖词写得很感人，我听了好几遍还想再听。</t>
        </is>
      </c>
      <c r="G3662" t="inlineStr"/>
      <c r="H3662" t="inlineStr"/>
    </row>
    <row r="3663">
      <c r="A3663" t="inlineStr">
        <is>
          <t>Linh tinh</t>
        </is>
      </c>
      <c r="B3663" t="inlineStr">
        <is>
          <t>魔幻</t>
        </is>
      </c>
      <c r="C3663" t="inlineStr">
        <is>
          <t>móhuàn</t>
        </is>
      </c>
      <c r="D3663" t="inlineStr">
        <is>
          <t>神奇、不真实，像魔法一样</t>
        </is>
      </c>
      <c r="E3663" t="inlineStr">
        <is>
          <t>huyền ảo, kỳ ảo</t>
        </is>
      </c>
      <c r="F3663" t="inlineStr">
        <is>
          <t>我挺喜欢魔幻小说，里面的世界跟现实完全不一样。</t>
        </is>
      </c>
      <c r="G3663" t="inlineStr"/>
      <c r="H3663" t="inlineStr"/>
    </row>
    <row r="3664">
      <c r="A3664" t="inlineStr">
        <is>
          <t>Linh tinh</t>
        </is>
      </c>
      <c r="B3664" t="inlineStr">
        <is>
          <t>鳞片</t>
        </is>
      </c>
      <c r="C3664" t="inlineStr">
        <is>
          <t>línpiàn</t>
        </is>
      </c>
      <c r="D3664" t="inlineStr">
        <is>
          <t>鱼或爬行动物身上的小薄片</t>
        </is>
      </c>
      <c r="E3664" t="inlineStr">
        <is>
          <t>vảy (cá, bò sát)</t>
        </is>
      </c>
      <c r="F3664" t="inlineStr">
        <is>
          <t>这种鱼的鳞片在灯光下会闪闪发光。</t>
        </is>
      </c>
      <c r="G3664" t="inlineStr"/>
      <c r="H3664" t="inlineStr"/>
    </row>
  </sheetData>
  <conditionalFormatting sqref="H1:H3025">
    <cfRule type="containsText" priority="1" operator="containsText" dxfId="0" text="FALSE">
      <formula>NOT(ISERROR(SEARCH(("FALSE"),(H1))))</formula>
    </cfRule>
    <cfRule type="containsText" priority="2" operator="containsText" dxfId="1" text="TRUE">
      <formula>NOT(ISERROR(SEARCH(("TRUE"),(H1))))</formula>
    </cfRule>
  </conditionalFormatting>
  <dataValidations count="1">
    <dataValidation sqref="A2:A202" showDropDown="0" showInputMessage="0" showErrorMessage="1" allowBlank="1" type="list">
      <formula1>"Bài 1,Bài 2,Bài 3,Bài 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13.13" customWidth="1" style="24" min="1" max="2"/>
    <col width="38.63" customWidth="1" style="24" min="4" max="4"/>
  </cols>
  <sheetData>
    <row r="1">
      <c r="A1" s="3" t="inlineStr">
        <is>
          <t>Bài</t>
        </is>
      </c>
      <c r="B1" s="3" t="inlineStr">
        <is>
          <t>生词</t>
        </is>
      </c>
      <c r="C1" s="3" t="inlineStr">
        <is>
          <t>Pinyin</t>
        </is>
      </c>
      <c r="D1" s="3" t="inlineStr">
        <is>
          <t>描述</t>
        </is>
      </c>
      <c r="E1" s="3" t="inlineStr">
        <is>
          <t>意义</t>
        </is>
      </c>
      <c r="F1" s="3" t="inlineStr">
        <is>
          <t>例如</t>
        </is>
      </c>
      <c r="G1" s="3" t="inlineStr">
        <is>
          <t>复习</t>
        </is>
      </c>
      <c r="H1" s="3" t="inlineStr">
        <is>
          <t>检查</t>
        </is>
      </c>
    </row>
    <row r="2">
      <c r="A2" s="8" t="inlineStr">
        <is>
          <t>bài 2</t>
        </is>
      </c>
      <c r="B2" s="8" t="inlineStr">
        <is>
          <t>体谅、谅解、见谅、原谅、互谅 (互谅互让)</t>
        </is>
      </c>
    </row>
    <row r="3">
      <c r="A3" s="8" t="inlineStr">
        <is>
          <t>bài 2</t>
        </is>
      </c>
      <c r="B3" s="8" t="inlineStr">
        <is>
          <t>埋怨、埋伏、埋没、埋葬</t>
        </is>
      </c>
    </row>
    <row r="4">
      <c r="A4" s="8" t="inlineStr">
        <is>
          <t>bài 3</t>
        </is>
      </c>
      <c r="B4" s="23" t="inlineStr">
        <is>
          <t>共迎新春-送旧迎新-迎面-迎刃而解</t>
        </is>
      </c>
      <c r="E4" s="8">
        <f>IFERROR(__xludf.DUMMYFUNCTION("GOOGLETRANSLATE(B4, ""zh"", ""vi"")"),"Chào đón năm mới - Tạm biệt năm cũ và đón nhận năm mới - Đối mặt với tương lai - Giải quyết vấn đề một cách dễ dàng")</f>
        <v/>
      </c>
      <c r="H4" s="8">
        <f>G4=B4</f>
        <v/>
      </c>
    </row>
    <row r="5">
      <c r="A5" s="8" t="inlineStr">
        <is>
          <t>bài 3</t>
        </is>
      </c>
      <c r="B5" s="23" t="inlineStr">
        <is>
          <t>搓手-搓洗-揉搓</t>
        </is>
      </c>
      <c r="E5" s="8">
        <f>IFERROR(__xludf.DUMMYFUNCTION("GOOGLETRANSLATE(B5, ""zh"", ""vi"")"),"xoa tay - rửa tay - nhào bột")</f>
        <v/>
      </c>
      <c r="H5" s="8">
        <f>G5=B5</f>
        <v/>
      </c>
    </row>
    <row r="6">
      <c r="A6" s="8" t="inlineStr">
        <is>
          <t>bài 3</t>
        </is>
      </c>
      <c r="B6" s="23" t="inlineStr">
        <is>
          <t>饱含水分-饱经风霜-饱读诗书</t>
        </is>
      </c>
      <c r="E6" s="8">
        <f>IFERROR(__xludf.DUMMYFUNCTION("GOOGLETRANSLATE(B6, ""zh"", ""vi"")"),"Đầy hơi ẩm - phong hóa theo thời gian - được nhiều người đọc")</f>
        <v/>
      </c>
      <c r="H6" s="8">
        <f>G6=B6</f>
        <v/>
      </c>
    </row>
    <row r="7">
      <c r="A7" s="8" t="inlineStr">
        <is>
          <t>bài 3</t>
        </is>
      </c>
      <c r="B7" s="23" t="inlineStr">
        <is>
          <t>朴素-淳朴-古朴-朴实-简朴</t>
        </is>
      </c>
      <c r="E7" s="8">
        <f>IFERROR(__xludf.DUMMYFUNCTION("GOOGLETRANSLATE(B7, ""zh"", ""vi"")"),"Đơn giản, không cầu kỳ, mộc mạc, khiêm tốn")</f>
        <v/>
      </c>
      <c r="H7" s="8">
        <f>G7=B7</f>
        <v/>
      </c>
    </row>
    <row r="8">
      <c r="A8" s="8" t="inlineStr">
        <is>
          <t>bài 3</t>
        </is>
      </c>
      <c r="B8" s="23" t="inlineStr">
        <is>
          <t>信誉-名誉-声誉-荣誉-过誉-赞誉</t>
        </is>
      </c>
      <c r="E8" s="8">
        <f>IFERROR(__xludf.DUMMYFUNCTION("GOOGLETRANSLATE(B8, ""zh"", ""vi"")"),"Danh tiếng - Danh tiếng - Danh dự - Khen ngợi quá mức - Lời khen")</f>
        <v/>
      </c>
    </row>
    <row r="9">
      <c r="A9" s="8" t="inlineStr">
        <is>
          <t>bài 3</t>
        </is>
      </c>
      <c r="B9" s="23" t="inlineStr">
        <is>
          <t>白干-干劲-单干-傻干-骨干-树干</t>
        </is>
      </c>
      <c r="C9" s="21" t="n"/>
    </row>
    <row r="10">
      <c r="A10" s="8" t="inlineStr">
        <is>
          <t>bài 3</t>
        </is>
      </c>
      <c r="B10" s="23" t="inlineStr">
        <is>
          <t>负担-担负-肩负-忍辱负重-背负</t>
        </is>
      </c>
    </row>
    <row r="11">
      <c r="A11" s="8" t="inlineStr">
        <is>
          <t>bài 3</t>
        </is>
      </c>
      <c r="B11" s="23" t="inlineStr">
        <is>
          <t>和颜悦色-喜悦-愉悦-取悦-心悦诚服</t>
        </is>
      </c>
    </row>
    <row r="12">
      <c r="A12" s="8" t="inlineStr">
        <is>
          <t>bài 3</t>
        </is>
      </c>
      <c r="B12" s="8" t="inlineStr">
        <is>
          <t>迟疑 (Chíyí) và 犹豫 (Yóuyù)</t>
        </is>
      </c>
    </row>
    <row r="13">
      <c r="A13" s="8" t="inlineStr">
        <is>
          <t>bài 4</t>
        </is>
      </c>
      <c r="B13" s="23" t="inlineStr">
        <is>
          <t>厌烦-厌倦-厌世-贪得无厌-学而不厌</t>
        </is>
      </c>
    </row>
    <row r="14">
      <c r="A14" s="8" t="inlineStr">
        <is>
          <t>bài 4</t>
        </is>
      </c>
      <c r="B14" s="23" t="inlineStr">
        <is>
          <t>好恶-恶心-可恶-厌恶</t>
        </is>
      </c>
    </row>
    <row r="15">
      <c r="A15" s="8" t="inlineStr">
        <is>
          <t>bài 4</t>
        </is>
      </c>
      <c r="B15" s="23" t="inlineStr">
        <is>
          <t>允诺-许诺-承诺-一诺千金-诺言</t>
        </is>
      </c>
    </row>
    <row r="16">
      <c r="A16" s="8" t="inlineStr">
        <is>
          <t>bài 4</t>
        </is>
      </c>
      <c r="B16" s="23" t="inlineStr">
        <is>
          <t>乘务员-有机可乘-乘凉-乘机-乘虚而入</t>
        </is>
      </c>
    </row>
    <row r="17">
      <c r="A17" s="8" t="inlineStr">
        <is>
          <t>bài 4</t>
        </is>
      </c>
      <c r="B17" s="23" t="inlineStr">
        <is>
          <t>求饶-饶恕-富饶-丰饶</t>
        </is>
      </c>
    </row>
    <row r="18">
      <c r="A18" s="8" t="inlineStr">
        <is>
          <t>bài 4</t>
        </is>
      </c>
      <c r="B18" s="23" t="inlineStr">
        <is>
          <t>饶恕-宽恕-恕罪-恕难从命</t>
        </is>
      </c>
    </row>
    <row r="19">
      <c r="A19" s="8" t="inlineStr">
        <is>
          <t>bài 4</t>
        </is>
      </c>
      <c r="B19" s="23" t="inlineStr">
        <is>
          <t>盲文-夜盲-盲目-色盲-盲人摸象</t>
        </is>
      </c>
    </row>
    <row r="20">
      <c r="A20" s="8" t="inlineStr">
        <is>
          <t>bài 4</t>
        </is>
      </c>
      <c r="B20" s="23" t="inlineStr">
        <is>
          <t>正好 vs 恰巧</t>
        </is>
      </c>
    </row>
    <row r="21">
      <c r="A21" s="8" t="inlineStr">
        <is>
          <t>bài 4</t>
        </is>
      </c>
      <c r="B21" s="23" t="inlineStr">
        <is>
          <t>举家-举国-举世-举世闻名-举世瞩目</t>
        </is>
      </c>
    </row>
    <row r="22">
      <c r="A22" s="8" t="inlineStr">
        <is>
          <t>bài 4</t>
        </is>
      </c>
      <c r="B22" s="23" t="inlineStr">
        <is>
          <t>瞩目-高瞻远瞩</t>
        </is>
      </c>
    </row>
    <row r="23">
      <c r="A23" s="8" t="inlineStr">
        <is>
          <t>bài 4</t>
        </is>
      </c>
      <c r="B23" s="23" t="inlineStr">
        <is>
          <t>抱头鼠窜-东奔西窜-逃窜-窜改</t>
        </is>
      </c>
    </row>
    <row r="24">
      <c r="A24" s="8" t="inlineStr">
        <is>
          <t>bài 4</t>
        </is>
      </c>
      <c r="B24" s="23" t="inlineStr">
        <is>
          <t>笔锋-锋利-词锋-针锋相对-锋芒</t>
        </is>
      </c>
    </row>
    <row r="25">
      <c r="A25" s="8" t="inlineStr">
        <is>
          <t>bài 5</t>
        </is>
      </c>
      <c r="B25" s="8" t="inlineStr">
        <is>
          <t xml:space="preserve">强迫-迫不得已-极寒交迫-迫切-急迫--迫近 
</t>
        </is>
      </c>
    </row>
    <row r="26">
      <c r="A26" s="8" t="inlineStr">
        <is>
          <t>bài 5</t>
        </is>
      </c>
      <c r="B26" s="8" t="inlineStr">
        <is>
          <t xml:space="preserve">干涉-牵涉-涉及-涉险-跋山涉水 
</t>
        </is>
      </c>
    </row>
    <row r="27">
      <c r="A27" s="8" t="inlineStr">
        <is>
          <t>bài 5</t>
        </is>
      </c>
      <c r="B27" s="8" t="inlineStr">
        <is>
          <t>专门 vs 专程</t>
        </is>
      </c>
    </row>
    <row r="28">
      <c r="A28" s="8" t="inlineStr">
        <is>
          <t>bài 5</t>
        </is>
      </c>
      <c r="B28" s="8" t="inlineStr">
        <is>
          <t xml:space="preserve">缓期-刻不容缓-缓解-缓和-平缓-缓慢-迟缓 
</t>
        </is>
      </c>
    </row>
    <row r="29">
      <c r="A29" s="8" t="inlineStr">
        <is>
          <t>bài 5</t>
        </is>
      </c>
      <c r="B29" s="8" t="inlineStr">
        <is>
          <t xml:space="preserve">崩伤-崩溃-山崩-土崩瓦解-谈崩-分崩离析 
</t>
        </is>
      </c>
    </row>
    <row r="30">
      <c r="A30" s="8" t="inlineStr">
        <is>
          <t>bài 5</t>
        </is>
      </c>
      <c r="B30" s="8" t="inlineStr">
        <is>
          <t xml:space="preserve">溃决-溃败-溃不成军-崩溃-溃烂-溃疡 
</t>
        </is>
      </c>
    </row>
    <row r="31">
      <c r="A31" s="8" t="inlineStr">
        <is>
          <t>bài 5</t>
        </is>
      </c>
      <c r="B31" s="8" t="inlineStr">
        <is>
          <t xml:space="preserve">搁-搁笔-搁浅-搁置-耽搁 
</t>
        </is>
      </c>
    </row>
    <row r="32">
      <c r="A32" s="8" t="inlineStr">
        <is>
          <t>bài 6</t>
        </is>
      </c>
      <c r="B32" s="8" t="inlineStr">
        <is>
          <t xml:space="preserve">就职-就位-就业-就餐-高就-屈就-就学 
</t>
        </is>
      </c>
    </row>
    <row r="33">
      <c r="A33" s="8" t="inlineStr">
        <is>
          <t>bài 6</t>
        </is>
      </c>
      <c r="B33" s="8" t="inlineStr">
        <is>
          <t xml:space="preserve">光溜-溜光-溜冰-出溜-开溜-溜走-溜达 
</t>
        </is>
      </c>
    </row>
    <row r="34">
      <c r="A34" s="8" t="inlineStr">
        <is>
          <t>bài 6</t>
        </is>
      </c>
      <c r="B34" s="8" t="inlineStr">
        <is>
          <t>创立 vs 创办</t>
        </is>
      </c>
    </row>
    <row r="35">
      <c r="A35" s="8" t="inlineStr">
        <is>
          <t>bài 6</t>
        </is>
      </c>
      <c r="B35" s="8" t="inlineStr">
        <is>
          <t>赴汤蹈火-赴宴-前赴后继-开赴-赴会-奔赴</t>
        </is>
      </c>
    </row>
    <row r="36">
      <c r="A36" s="8" t="inlineStr">
        <is>
          <t>bài 6</t>
        </is>
      </c>
      <c r="B36" s="8" t="inlineStr">
        <is>
          <t>懈怠-怠工-怠慢</t>
        </is>
      </c>
    </row>
    <row r="37">
      <c r="A37" s="8" t="inlineStr">
        <is>
          <t>bài 6</t>
        </is>
      </c>
      <c r="B37" s="8" t="inlineStr">
        <is>
          <t xml:space="preserve">庸庸碌碌-庸碌-碌碌无为-劳碌-忙碌 
</t>
        </is>
      </c>
    </row>
    <row r="38">
      <c r="A38" s="8" t="inlineStr">
        <is>
          <t>bài 6</t>
        </is>
      </c>
      <c r="B38" s="8" t="inlineStr">
        <is>
          <t xml:space="preserve">东拼西凑-凑-凑数-拼凑-凑巧-凑趣-凑热闹-凑近 
</t>
        </is>
      </c>
    </row>
    <row r="39">
      <c r="A39" s="8" t="inlineStr">
        <is>
          <t>bài 6</t>
        </is>
      </c>
      <c r="B39" s="8" t="inlineStr">
        <is>
          <t xml:space="preserve">授予-授粉-授课-面授-授意-传授 
</t>
        </is>
      </c>
    </row>
    <row r="40">
      <c r="A40" s="8" t="inlineStr">
        <is>
          <t>bài 7</t>
        </is>
      </c>
      <c r="B40" s="8" t="inlineStr">
        <is>
          <t xml:space="preserve">畏惧-畏罪-畏罪-畏首畏尾 
</t>
        </is>
      </c>
    </row>
    <row r="41">
      <c r="A41" s="8" t="inlineStr">
        <is>
          <t>bài 7</t>
        </is>
      </c>
      <c r="B41" s="8" t="inlineStr">
        <is>
          <t xml:space="preserve">挫败-受挫-顿挫-抑扬顿挫 
</t>
        </is>
      </c>
    </row>
    <row r="42">
      <c r="A42" s="8" t="inlineStr">
        <is>
          <t>bài 7</t>
        </is>
      </c>
      <c r="B42" s="8" t="inlineStr">
        <is>
          <t xml:space="preserve">躁动-烦躁-暴躁-浮躁-急躁-焦躁 
</t>
        </is>
      </c>
    </row>
    <row r="43">
      <c r="A43" s="8" t="inlineStr">
        <is>
          <t>bài 7</t>
        </is>
      </c>
      <c r="B43" s="8" t="inlineStr">
        <is>
          <t xml:space="preserve">擅自-擅长-擅于 
</t>
        </is>
      </c>
    </row>
    <row r="44">
      <c r="A44" s="8" t="inlineStr">
        <is>
          <t>bài 7</t>
        </is>
      </c>
      <c r="B44" s="8" t="inlineStr">
        <is>
          <t xml:space="preserve">干燥-燥热-枯燥-口干舌燥 
</t>
        </is>
      </c>
    </row>
    <row r="45">
      <c r="A45" s="8" t="inlineStr">
        <is>
          <t>bài 7</t>
        </is>
      </c>
      <c r="B45" s="8" t="inlineStr">
        <is>
          <t xml:space="preserve">顾虑重重-困难重重-心事重重 
</t>
        </is>
      </c>
    </row>
    <row r="46">
      <c r="A46" s="8" t="inlineStr">
        <is>
          <t>bài 7</t>
        </is>
      </c>
      <c r="B46" s="8" t="inlineStr">
        <is>
          <t xml:space="preserve">确诊-确立-确保-确切-的确-确信 
</t>
        </is>
      </c>
    </row>
    <row r="47">
      <c r="A47" s="8" t="inlineStr">
        <is>
          <t>bài 7</t>
        </is>
      </c>
      <c r="B47" s="8" t="inlineStr">
        <is>
          <t xml:space="preserve">忏悔-悔改-悔过-后悔-反悔 
</t>
        </is>
      </c>
    </row>
    <row r="48">
      <c r="A48" s="8" t="inlineStr">
        <is>
          <t>bài 7</t>
        </is>
      </c>
      <c r="B48" s="8" t="inlineStr">
        <is>
          <t xml:space="preserve">昔年-昔日-今昔-往昔-抚今追昔 
</t>
        </is>
      </c>
    </row>
    <row r="49">
      <c r="A49" s="8" t="inlineStr">
        <is>
          <t>bài 7</t>
        </is>
      </c>
      <c r="B49" s="8" t="inlineStr">
        <is>
          <t xml:space="preserve">沉稳-稳重-平稳-安稳-四平八稳 
</t>
        </is>
      </c>
    </row>
    <row r="50">
      <c r="A50" s="8" t="inlineStr">
        <is>
          <t>bài 8</t>
        </is>
      </c>
      <c r="B50" s="8" t="inlineStr">
        <is>
          <t xml:space="preserve">疮疤-刀疤-伤疤 
</t>
        </is>
      </c>
    </row>
    <row r="51">
      <c r="A51" s="8" t="inlineStr">
        <is>
          <t>bài 8</t>
        </is>
      </c>
      <c r="B51" s="8" t="inlineStr">
        <is>
          <t xml:space="preserve">失信-守信-可信-亲信-信守 
</t>
        </is>
      </c>
    </row>
    <row r="52">
      <c r="A52" s="8" t="inlineStr">
        <is>
          <t>bài 8</t>
        </is>
      </c>
      <c r="B52" s="8" t="inlineStr">
        <is>
          <t xml:space="preserve">呈露-呈上-呈报-呈递-呈请 
</t>
        </is>
      </c>
    </row>
    <row r="53">
      <c r="A53" s="8" t="inlineStr">
        <is>
          <t>bài 8</t>
        </is>
      </c>
      <c r="B53" s="8" t="inlineStr">
        <is>
          <t xml:space="preserve">阐明-阐发-阐释 
</t>
        </is>
      </c>
    </row>
    <row r="54">
      <c r="A54" s="8" t="inlineStr">
        <is>
          <t>bài 8</t>
        </is>
      </c>
      <c r="B54" s="8" t="inlineStr">
        <is>
          <t xml:space="preserve">抒发-抒情-抒写-直抒胸臆 
</t>
        </is>
      </c>
    </row>
    <row r="55">
      <c r="A55" s="8" t="inlineStr">
        <is>
          <t>bài 8</t>
        </is>
      </c>
      <c r="B55" s="8" t="inlineStr">
        <is>
          <t xml:space="preserve">惩治-严惩不贷-奖惩 
</t>
        </is>
      </c>
    </row>
    <row r="56">
      <c r="A56" s="8" t="inlineStr">
        <is>
          <t>bài 8</t>
        </is>
      </c>
      <c r="B56" s="8" t="inlineStr">
        <is>
          <t xml:space="preserve">担忧-忧心如焚-忧愁-无忧无虑 
</t>
        </is>
      </c>
    </row>
    <row r="57">
      <c r="A57" s="8" t="inlineStr">
        <is>
          <t>bài 8</t>
        </is>
      </c>
      <c r="B57" s="8" t="inlineStr">
        <is>
          <t xml:space="preserve">发昏-昏睡-昏庸-头昏脑涨 
</t>
        </is>
      </c>
    </row>
    <row r="58">
      <c r="A58" s="8" t="inlineStr">
        <is>
          <t>bài 8</t>
        </is>
      </c>
      <c r="B58" s="8" t="inlineStr">
        <is>
          <t xml:space="preserve">绳索-线索-摸索-探索-索取-索引 
</t>
        </is>
      </c>
    </row>
    <row r="59">
      <c r="A59" s="8" t="inlineStr">
        <is>
          <t>bài 9</t>
        </is>
      </c>
      <c r="B59" s="8" t="inlineStr">
        <is>
          <t xml:space="preserve">憋闷-憋醒-憋屈-憋足劲儿 
</t>
        </is>
      </c>
    </row>
    <row r="60">
      <c r="A60" s="8" t="inlineStr">
        <is>
          <t>bài 9</t>
        </is>
      </c>
      <c r="B60" s="8" t="inlineStr">
        <is>
          <t xml:space="preserve">防暑-防护-防止-消防-预防 
</t>
        </is>
      </c>
    </row>
    <row r="61">
      <c r="A61" s="8" t="inlineStr">
        <is>
          <t>bài 9</t>
        </is>
      </c>
      <c r="B61" s="8" t="inlineStr">
        <is>
          <t xml:space="preserve">禁止-阻止-不止-截止-制止 
</t>
        </is>
      </c>
    </row>
    <row r="62">
      <c r="A62" s="8" t="inlineStr">
        <is>
          <t>bài 9</t>
        </is>
      </c>
      <c r="B62" s="8" t="inlineStr">
        <is>
          <t xml:space="preserve">单薄-浅薄-稀薄-淡薄-薄弱 
</t>
        </is>
      </c>
    </row>
    <row r="63">
      <c r="A63" s="8" t="inlineStr">
        <is>
          <t>bài 9</t>
        </is>
      </c>
      <c r="B63" s="8" t="inlineStr">
        <is>
          <t xml:space="preserve">冻僵-僵死-僵直-僵持-僵局 
</t>
        </is>
      </c>
    </row>
    <row r="64">
      <c r="A64" s="8" t="inlineStr">
        <is>
          <t>bài 9</t>
        </is>
      </c>
      <c r="B64" s="8" t="inlineStr">
        <is>
          <t xml:space="preserve">地震-余震-抗震性-震动-震荡 
</t>
        </is>
      </c>
    </row>
    <row r="65">
      <c r="A65" s="8" t="inlineStr">
        <is>
          <t>bài 9</t>
        </is>
      </c>
      <c r="B65" s="8" t="inlineStr">
        <is>
          <t xml:space="preserve">骚扰-干扰-打扰-扰乱-叨扰 
</t>
        </is>
      </c>
    </row>
    <row r="66">
      <c r="A66" s="8" t="inlineStr">
        <is>
          <t>bài 10</t>
        </is>
      </c>
      <c r="B66" s="8" t="inlineStr">
        <is>
          <t xml:space="preserve">蕴涵-蕴含 
</t>
        </is>
      </c>
    </row>
    <row r="67">
      <c r="A67" s="8" t="inlineStr">
        <is>
          <t>bài 10</t>
        </is>
      </c>
      <c r="B67" s="8" t="inlineStr">
        <is>
          <t xml:space="preserve">蕴藏-底蕴 
</t>
        </is>
      </c>
    </row>
    <row r="68">
      <c r="A68" s="8" t="inlineStr">
        <is>
          <t>bài 10</t>
        </is>
      </c>
      <c r="B68" s="8" t="inlineStr">
        <is>
          <t xml:space="preserve">阔步-广阔-开阔-辽阔-高谈阔论 
</t>
        </is>
      </c>
    </row>
    <row r="69">
      <c r="A69" s="8" t="inlineStr">
        <is>
          <t>bài 10</t>
        </is>
      </c>
      <c r="B69" s="8" t="inlineStr">
        <is>
          <t xml:space="preserve">禽兽-飞禽-家禽-猛禽-珍禽 
</t>
        </is>
      </c>
    </row>
    <row r="70">
      <c r="A70" s="8" t="inlineStr">
        <is>
          <t>bài 10</t>
        </is>
      </c>
      <c r="B70" s="8" t="inlineStr">
        <is>
          <t xml:space="preserve">兽心-兽皮-兽王-兽医-怪兽-猛兽 
</t>
        </is>
      </c>
    </row>
    <row r="71">
      <c r="A71" s="8" t="inlineStr">
        <is>
          <t>bài 10</t>
        </is>
      </c>
      <c r="B71" s="8" t="inlineStr">
        <is>
          <t xml:space="preserve">素净-朴素-素来-素菜-素餐-素食 
</t>
        </is>
      </c>
    </row>
    <row r="72">
      <c r="A72" s="8" t="inlineStr">
        <is>
          <t>bài 10</t>
        </is>
      </c>
      <c r="B72" s="8" t="inlineStr">
        <is>
          <t xml:space="preserve">栽倒-栽赃-栽秧-栽跟头-栽种 
</t>
        </is>
      </c>
    </row>
    <row r="73">
      <c r="A73" s="8" t="inlineStr">
        <is>
          <t>bài 10</t>
        </is>
      </c>
      <c r="B73" s="8" t="inlineStr">
        <is>
          <t xml:space="preserve">分辨-辨别-辨认-辨析-辨正 
</t>
        </is>
      </c>
    </row>
    <row r="74">
      <c r="A74" s="8" t="inlineStr">
        <is>
          <t>bài 10</t>
        </is>
      </c>
      <c r="B74" s="8" t="inlineStr">
        <is>
          <t xml:space="preserve">谐声-谐音-谐调-和谐 
</t>
        </is>
      </c>
    </row>
    <row r="75">
      <c r="A75" s="8" t="inlineStr">
        <is>
          <t>bài 10</t>
        </is>
      </c>
      <c r="B75" s="8" t="inlineStr">
        <is>
          <t xml:space="preserve">诙谐-谐戏-谐谑 
</t>
        </is>
      </c>
    </row>
    <row r="76">
      <c r="A76" s="8" t="inlineStr">
        <is>
          <t>bài 10</t>
        </is>
      </c>
      <c r="B76" s="8" t="inlineStr">
        <is>
          <t xml:space="preserve">餐风饮露-餐具-早餐-晚餐-午餐 
</t>
        </is>
      </c>
    </row>
    <row r="77">
      <c r="A77" s="8" t="inlineStr">
        <is>
          <t>bài 10</t>
        </is>
      </c>
      <c r="B77" s="8" t="inlineStr">
        <is>
          <t xml:space="preserve">斥骂-充斥-排斥-斥责-痛斥-训斥 
</t>
        </is>
      </c>
    </row>
    <row r="78">
      <c r="A78" s="8" t="inlineStr">
        <is>
          <t>bài 10</t>
        </is>
      </c>
      <c r="B78" s="8" t="inlineStr">
        <is>
          <t xml:space="preserve">折断-骨折-折中-折腾-折算 
</t>
        </is>
      </c>
    </row>
    <row r="79">
      <c r="A79" s="8" t="inlineStr">
        <is>
          <t>bài 11</t>
        </is>
      </c>
      <c r="B79" s="8" t="inlineStr">
        <is>
          <t xml:space="preserve">淋雨-淋浴头-湿淋淋-血淋淋-淋漓
</t>
        </is>
      </c>
    </row>
    <row r="80">
      <c r="A80" s="8" t="inlineStr">
        <is>
          <t>bài 11</t>
        </is>
      </c>
      <c r="B80" s="8" t="inlineStr">
        <is>
          <t xml:space="preserve">懒虫-懒惰-懒散-偷懒-好吃懒做-懒洋洋
</t>
        </is>
      </c>
    </row>
    <row r="81">
      <c r="A81" s="8" t="inlineStr">
        <is>
          <t>bài 11</t>
        </is>
      </c>
      <c r="B81" s="8" t="inlineStr">
        <is>
          <t xml:space="preserve">怠惰-懒惰-惰性
</t>
        </is>
      </c>
    </row>
    <row r="82">
      <c r="A82" s="8" t="inlineStr">
        <is>
          <t>bài 11</t>
        </is>
      </c>
      <c r="B82" s="8" t="inlineStr">
        <is>
          <t xml:space="preserve">馋嘴-解馋-眼馋
</t>
        </is>
      </c>
    </row>
    <row r="83">
      <c r="A83" s="8" t="inlineStr">
        <is>
          <t>bài 11</t>
        </is>
      </c>
      <c r="B83" s="8" t="inlineStr">
        <is>
          <t xml:space="preserve">失踪-追踪-行踪-踪迹-跟踪-无影无踪 
</t>
        </is>
      </c>
    </row>
    <row r="84">
      <c r="A84" s="8" t="inlineStr">
        <is>
          <t>bài 11</t>
        </is>
      </c>
      <c r="B84" s="8" t="inlineStr">
        <is>
          <t xml:space="preserve">繁星-繁荣-繁多-繁重-繁茂 
</t>
        </is>
      </c>
    </row>
    <row r="85">
      <c r="A85" s="8" t="inlineStr">
        <is>
          <t>bài 11</t>
        </is>
      </c>
      <c r="B85" s="8" t="inlineStr">
        <is>
          <t xml:space="preserve">捷径-便捷-矫捷-敏捷-迅捷-捷报-告捷
</t>
        </is>
      </c>
    </row>
    <row r="86">
      <c r="A86" s="8" t="inlineStr">
        <is>
          <t>bài 11</t>
        </is>
      </c>
      <c r="B86" s="8" t="inlineStr">
        <is>
          <t xml:space="preserve">扑救-扑灭-扑鼻-扑面-扑哧
</t>
        </is>
      </c>
    </row>
    <row r="87">
      <c r="A87" s="8" t="inlineStr">
        <is>
          <t>bài 11</t>
        </is>
      </c>
      <c r="B87" s="8" t="inlineStr">
        <is>
          <t xml:space="preserve">动态-变态-液态-静态-固态
</t>
        </is>
      </c>
    </row>
    <row r="88">
      <c r="A88" s="8" t="inlineStr">
        <is>
          <t>bài 11</t>
        </is>
      </c>
      <c r="B88" s="8" t="inlineStr">
        <is>
          <t xml:space="preserve">遥控-遥望-遥远-遥遥领先-遥不可及
</t>
        </is>
      </c>
    </row>
    <row r="89">
      <c r="A89" s="8" t="inlineStr">
        <is>
          <t>bài 12</t>
        </is>
      </c>
      <c r="B89" s="8" t="inlineStr">
        <is>
          <t xml:space="preserve">淘米-淘洗-淘金-淘气
</t>
        </is>
      </c>
    </row>
    <row r="90">
      <c r="A90" s="8" t="inlineStr">
        <is>
          <t>bài 12</t>
        </is>
      </c>
      <c r="B90" s="8" t="inlineStr">
        <is>
          <t xml:space="preserve">扫描仪-素描-描画-描绘-描述-描写
</t>
        </is>
      </c>
    </row>
    <row r="91">
      <c r="A91" s="8" t="inlineStr">
        <is>
          <t>bài 12</t>
        </is>
      </c>
      <c r="B91" s="8" t="inlineStr">
        <is>
          <t xml:space="preserve">测绘-绘制-绘画-彩绘
</t>
        </is>
      </c>
    </row>
    <row r="92">
      <c r="A92" s="8" t="inlineStr">
        <is>
          <t>bài 12</t>
        </is>
      </c>
      <c r="B92" s="8" t="inlineStr">
        <is>
          <t>安抚-抚摩-抚慰-抚养</t>
        </is>
      </c>
    </row>
    <row r="93">
      <c r="A93" s="8" t="inlineStr">
        <is>
          <t>bài 12</t>
        </is>
      </c>
      <c r="B93" s="8" t="inlineStr">
        <is>
          <t>暴力-残暴-暴涨-暴跌-暴利-暴晒-暴发-风暴-暴躁-暴跳
如雷-粗暴-暴富-暴露</t>
        </is>
      </c>
    </row>
    <row r="94">
      <c r="A94" s="8" t="inlineStr">
        <is>
          <t>bài 12</t>
        </is>
      </c>
      <c r="B94" s="8" t="inlineStr">
        <is>
          <t xml:space="preserve">惹祸-惹事-惹麻烦-惹乱子-惹是生非
</t>
        </is>
      </c>
    </row>
    <row r="95">
      <c r="A95" s="8" t="inlineStr">
        <is>
          <t>bài 12</t>
        </is>
      </c>
      <c r="B95" s="8" t="inlineStr">
        <is>
          <t xml:space="preserve">天灾人祸-惹祸-幸灾乐祸-车祸
</t>
        </is>
      </c>
    </row>
    <row r="96">
      <c r="A96" s="8" t="inlineStr">
        <is>
          <t>bài 12</t>
        </is>
      </c>
      <c r="B96" s="8" t="inlineStr">
        <is>
          <t xml:space="preserve">呼风唤雨-唤起-唤醒-呼唤
</t>
        </is>
      </c>
    </row>
    <row r="97">
      <c r="A97" s="8" t="inlineStr">
        <is>
          <t>bài 12</t>
        </is>
      </c>
      <c r="B97" s="8" t="inlineStr">
        <is>
          <t xml:space="preserve">拉拢-靠拢-拢紧-合不拢
</t>
        </is>
      </c>
    </row>
    <row r="98">
      <c r="A98" s="8" t="inlineStr">
        <is>
          <t>bài 12</t>
        </is>
      </c>
      <c r="B98" s="8" t="inlineStr">
        <is>
          <t xml:space="preserve">暗淡-灰暗-阴暗-暗杀-暗示-暗想-天昏地暗
</t>
        </is>
      </c>
    </row>
    <row r="99">
      <c r="A99" s="8" t="inlineStr">
        <is>
          <t>bài 12</t>
        </is>
      </c>
      <c r="B99" s="8" t="inlineStr">
        <is>
          <t xml:space="preserve">后患-水患-患难与共-内忧外患-忧患-患病
</t>
        </is>
      </c>
    </row>
    <row r="100">
      <c r="A100" s="8" t="inlineStr">
        <is>
          <t>bài 12</t>
        </is>
      </c>
      <c r="B100" s="8" t="inlineStr">
        <is>
          <t xml:space="preserve">愈加-愈战愈强-愈演愈烈-痊愈-病愈-愈合 
</t>
        </is>
      </c>
    </row>
    <row r="101">
      <c r="A101" s="8" t="inlineStr">
        <is>
          <t>bài 13</t>
        </is>
      </c>
      <c r="B101" s="8" t="inlineStr">
        <is>
          <t xml:space="preserve">迁居-迁徙-搬迁-见异思迁-变迁-事过境迁
</t>
        </is>
      </c>
    </row>
    <row r="102">
      <c r="A102" s="8" t="inlineStr">
        <is>
          <t>bài 13</t>
        </is>
      </c>
      <c r="B102" s="8" t="inlineStr">
        <is>
          <t xml:space="preserve">携带-提携-携手-扶老携幼
</t>
        </is>
      </c>
    </row>
    <row r="103">
      <c r="A103" s="8" t="inlineStr">
        <is>
          <t>bài 13</t>
        </is>
      </c>
      <c r="B103" s="8" t="inlineStr">
        <is>
          <t xml:space="preserve">遍体鳞伤-走遍-漫山遍野-遍布-遍地
</t>
        </is>
      </c>
    </row>
    <row r="104">
      <c r="A104" s="8" t="inlineStr">
        <is>
          <t>bài 13</t>
        </is>
      </c>
      <c r="B104" s="8" t="inlineStr">
        <is>
          <t xml:space="preserve">千方百计-千载难逢-千变万化-千奇百怪-千言万语  -成千上万 
</t>
        </is>
      </c>
    </row>
    <row r="105">
      <c r="A105" s="8" t="inlineStr">
        <is>
          <t>bài 13</t>
        </is>
      </c>
      <c r="B105" s="8" t="inlineStr">
        <is>
          <t xml:space="preserve">百发百中-百感交集-百依百顺-百折不挠 
</t>
        </is>
      </c>
    </row>
    <row r="106">
      <c r="A106" s="8" t="inlineStr">
        <is>
          <t>bài 13</t>
        </is>
      </c>
      <c r="B106" s="8" t="inlineStr">
        <is>
          <t xml:space="preserve">僻静-偏僻-穷乡僻壤-孤僻-怪癖-冷僻-生僻 
</t>
        </is>
      </c>
    </row>
    <row r="107">
      <c r="A107" s="8" t="inlineStr">
        <is>
          <t>bài 13</t>
        </is>
      </c>
      <c r="B107" s="8" t="inlineStr">
        <is>
          <t xml:space="preserve">蚊帐-营帐-帐篷-青纱帐 
</t>
        </is>
      </c>
    </row>
    <row r="108">
      <c r="A108" s="8" t="inlineStr">
        <is>
          <t>bài 14</t>
        </is>
      </c>
      <c r="B108" s="8" t="inlineStr">
        <is>
          <t xml:space="preserve">考察-观察-察觉-侦察-察言观色 </t>
        </is>
      </c>
    </row>
    <row r="109">
      <c r="A109" s="8" t="inlineStr">
        <is>
          <t>bài 14</t>
        </is>
      </c>
      <c r="B109" s="8" t="inlineStr">
        <is>
          <t xml:space="preserve">毅力-沉毅-刚毅-坚毅-毅然决然 
</t>
        </is>
      </c>
    </row>
    <row r="110">
      <c r="A110" s="8" t="inlineStr">
        <is>
          <t>bài 14</t>
        </is>
      </c>
      <c r="B110" s="8" t="inlineStr">
        <is>
          <t xml:space="preserve">开拓-拓荒-拓宽-拓印 
</t>
        </is>
      </c>
    </row>
    <row r="111">
      <c r="A111" s="8" t="inlineStr">
        <is>
          <t>bài 14</t>
        </is>
      </c>
      <c r="B111" s="8" t="inlineStr">
        <is>
          <t xml:space="preserve">饥肠-饥寒-饥渴-饥不择食-充饥 
</t>
        </is>
      </c>
    </row>
    <row r="112">
      <c r="A112" s="8" t="inlineStr">
        <is>
          <t>bài 15</t>
        </is>
      </c>
      <c r="B112" s="8" t="inlineStr">
        <is>
          <t xml:space="preserve">山脉-动脉-脉搏-号脉-诊脉-叶脉 
</t>
        </is>
      </c>
    </row>
    <row r="113">
      <c r="A113" s="8" t="inlineStr">
        <is>
          <t>bài 15</t>
        </is>
      </c>
      <c r="B113" s="8" t="inlineStr">
        <is>
          <t xml:space="preserve">卷尺-胶卷-舒卷-龙卷风-卷铺盖儿 
</t>
        </is>
      </c>
    </row>
    <row r="114">
      <c r="A114" s="8" t="inlineStr">
        <is>
          <t>bài 15</t>
        </is>
      </c>
      <c r="B114" s="8" t="inlineStr">
        <is>
          <t xml:space="preserve">罕闻-罕有-稀罕-罕见
</t>
        </is>
      </c>
    </row>
    <row r="115">
      <c r="A115" s="8" t="inlineStr">
        <is>
          <t>bài 15</t>
        </is>
      </c>
      <c r="B115" s="8" t="inlineStr">
        <is>
          <t xml:space="preserve">开天辟地-独辟蹊径-精辟-开辟 
</t>
        </is>
      </c>
    </row>
    <row r="116">
      <c r="A116" s="8" t="inlineStr">
        <is>
          <t>bài 16</t>
        </is>
      </c>
      <c r="B116" s="8" t="inlineStr">
        <is>
          <t>鉴别-鉴于-鉴定-鉴赏-借鉴</t>
        </is>
      </c>
    </row>
    <row r="117">
      <c r="A117" s="8" t="inlineStr">
        <is>
          <t>bài 16</t>
        </is>
      </c>
      <c r="B117" s="8" t="inlineStr">
        <is>
          <t>濒临-濒危-濒死</t>
        </is>
      </c>
    </row>
    <row r="118">
      <c r="A118" s="8" t="inlineStr">
        <is>
          <t>bài 16</t>
        </is>
      </c>
      <c r="B118" s="8" t="inlineStr">
        <is>
          <t>压抑-压制-压力-压迫</t>
        </is>
      </c>
    </row>
    <row r="119">
      <c r="A119" s="8" t="inlineStr">
        <is>
          <t>bài 16</t>
        </is>
      </c>
      <c r="B119" s="8" t="inlineStr">
        <is>
          <t>注视-注意-注目-注重</t>
        </is>
      </c>
    </row>
    <row r="120">
      <c r="A120" s="8" t="inlineStr">
        <is>
          <t>bài 16</t>
        </is>
      </c>
      <c r="B120" s="8" t="inlineStr">
        <is>
          <t>斑点-斑纹-斑斓-斑白-斑马</t>
        </is>
      </c>
    </row>
    <row r="121">
      <c r="A121" s="8" t="inlineStr">
        <is>
          <t>bài 16</t>
        </is>
      </c>
      <c r="B121" s="8" t="inlineStr">
        <is>
          <t>致力-致使-致辞-致命-致谢</t>
        </is>
      </c>
    </row>
    <row r="122">
      <c r="A122" s="8" t="inlineStr">
        <is>
          <t>bài 16</t>
        </is>
      </c>
      <c r="B122" s="8" t="inlineStr">
        <is>
          <t>识别-认识-知识-意识</t>
        </is>
      </c>
    </row>
    <row r="123">
      <c r="A123" s="8" t="inlineStr">
        <is>
          <t>bài 16</t>
        </is>
      </c>
      <c r="B123" s="8" t="inlineStr">
        <is>
          <t>辨认-辨别-分辨-辨析</t>
        </is>
      </c>
    </row>
    <row r="124">
      <c r="A124" s="8" t="inlineStr">
        <is>
          <t>bài 16</t>
        </is>
      </c>
      <c r="B124" s="8" t="inlineStr">
        <is>
          <t>琢磨-精雕细琢</t>
        </is>
      </c>
    </row>
    <row r="125">
      <c r="A125" s="8" t="inlineStr">
        <is>
          <t>bài 16</t>
        </is>
      </c>
      <c r="B125" s="8" t="inlineStr">
        <is>
          <t>昼夜-白昼</t>
        </is>
      </c>
    </row>
    <row r="126">
      <c r="A126" s="8" t="inlineStr">
        <is>
          <t>bài 16</t>
        </is>
      </c>
      <c r="B126" s="8" t="inlineStr">
        <is>
          <t>奔波-奔跑-奔驰-奔赴</t>
        </is>
      </c>
    </row>
    <row r="127">
      <c r="A127" s="8" t="inlineStr">
        <is>
          <t>bài 16</t>
        </is>
      </c>
      <c r="B127" s="8" t="inlineStr">
        <is>
          <t>畅销-畅快-畅通-畅谈</t>
        </is>
      </c>
    </row>
    <row r="128">
      <c r="A128" s="8" t="inlineStr">
        <is>
          <t>bài 16</t>
        </is>
      </c>
      <c r="B128" s="8" t="inlineStr">
        <is>
          <t>支撑-支持-支柱-支付</t>
        </is>
      </c>
    </row>
    <row r="129">
      <c r="A129" s="8" t="inlineStr">
        <is>
          <t>bài 16</t>
        </is>
      </c>
      <c r="B129" s="8" t="inlineStr">
        <is>
          <t>心甘情愿-甘心-甘愿-甘苦</t>
        </is>
      </c>
    </row>
    <row r="130">
      <c r="A130" s="8" t="inlineStr">
        <is>
          <t>bài 16</t>
        </is>
      </c>
      <c r="B130" s="8" t="inlineStr">
        <is>
          <t>报酬-酬谢-酬劳-应酬</t>
        </is>
      </c>
    </row>
    <row r="131">
      <c r="A131" s="8" t="inlineStr">
        <is>
          <t>bài 17</t>
        </is>
      </c>
      <c r="B131" s="8" t="inlineStr">
        <is>
          <t>沉闷-解闷-闷气-烦闷-郁闷</t>
        </is>
      </c>
    </row>
    <row r="132">
      <c r="A132" s="8" t="inlineStr">
        <is>
          <t>bài 17</t>
        </is>
      </c>
      <c r="B132" s="8" t="inlineStr">
        <is>
          <t>筛选-筛子-筛面-筛查</t>
        </is>
      </c>
    </row>
    <row r="133">
      <c r="A133" s="8" t="inlineStr">
        <is>
          <t>bài 17</t>
        </is>
      </c>
      <c r="B133" s="8" t="inlineStr">
        <is>
          <t>感慨-慷慨-愤慨-慷慨激昂</t>
        </is>
      </c>
    </row>
    <row r="134">
      <c r="A134" s="8" t="inlineStr">
        <is>
          <t>bài 17</t>
        </is>
      </c>
      <c r="B134" s="8" t="inlineStr">
        <is>
          <t>雅观-淡雅-雅兴-雅座-温文尔雅</t>
        </is>
      </c>
    </row>
    <row r="135">
      <c r="A135" s="8" t="inlineStr">
        <is>
          <t>bài 17</t>
        </is>
      </c>
      <c r="B135" s="8" t="inlineStr">
        <is>
          <t>谢幕-答谢-致谢-凋谢-新陈代谢</t>
        </is>
      </c>
    </row>
    <row r="136">
      <c r="A136" s="8" t="inlineStr">
        <is>
          <t>bài 17</t>
        </is>
      </c>
      <c r="B136" s="8" t="inlineStr">
        <is>
          <t>颤抖-颤动-颤颤悠悠</t>
        </is>
      </c>
    </row>
    <row r="137">
      <c r="A137" s="8" t="inlineStr">
        <is>
          <t>bài 17</t>
        </is>
      </c>
      <c r="B137" s="8" t="inlineStr">
        <is>
          <t>迟钝-钝器-顽钝-愚钝</t>
        </is>
      </c>
    </row>
    <row r="138">
      <c r="A138" s="8" t="inlineStr">
        <is>
          <t>bài 17</t>
        </is>
      </c>
      <c r="B138" s="8" t="inlineStr">
        <is>
          <t>笨拙-拙见-眼拙-弄巧成拙</t>
        </is>
      </c>
    </row>
    <row r="139">
      <c r="A139" s="8" t="inlineStr">
        <is>
          <t>bài 17</t>
        </is>
      </c>
      <c r="B139" s="8" t="inlineStr">
        <is>
          <t>焦急-焦点-焦虑-焦黄-焦头烂额</t>
        </is>
      </c>
    </row>
    <row r="140">
      <c r="A140" s="8" t="inlineStr">
        <is>
          <t>bài 18</t>
        </is>
      </c>
      <c r="B140" s="8" t="inlineStr">
        <is>
          <t>即使-即日-立即-当即-一拍即合</t>
        </is>
      </c>
    </row>
    <row r="141">
      <c r="A141" s="8" t="inlineStr">
        <is>
          <t>bài 18</t>
        </is>
      </c>
      <c r="B141" s="8" t="inlineStr">
        <is>
          <t>土壤-接壤-沃壤-穷乡僻壤-天壤之别</t>
        </is>
      </c>
    </row>
    <row r="142">
      <c r="A142" s="8" t="inlineStr">
        <is>
          <t>bài 18</t>
        </is>
      </c>
      <c r="B142" s="8" t="inlineStr">
        <is>
          <t>发愣-愣神儿-愣住-愣是-愣头愣脑</t>
        </is>
      </c>
    </row>
    <row r="143">
      <c r="A143" s="8" t="inlineStr">
        <is>
          <t>bài 18</t>
        </is>
      </c>
      <c r="B143" s="8" t="inlineStr">
        <is>
          <t>陡立-陡然-陡变-陡坡-陡峭-陡降</t>
        </is>
      </c>
    </row>
    <row r="144">
      <c r="A144" s="8" t="inlineStr">
        <is>
          <t>bài 18</t>
        </is>
      </c>
      <c r="B144" s="8" t="inlineStr">
        <is>
          <t>茂盛-繁茂-根深叶茂-图文并茂</t>
        </is>
      </c>
    </row>
    <row r="145">
      <c r="A145" s="8" t="inlineStr">
        <is>
          <t>bài 18</t>
        </is>
      </c>
      <c r="B145" s="8" t="inlineStr">
        <is>
          <t>昌盛-盛怒-盛行-盛开-盛产-丰盛</t>
        </is>
      </c>
    </row>
    <row r="146">
      <c r="A146" s="8" t="inlineStr">
        <is>
          <t>bài 18</t>
        </is>
      </c>
      <c r="B146" s="8" t="inlineStr">
        <is>
          <t>覆灭-颠覆-覆盖-天翻地覆</t>
        </is>
      </c>
    </row>
    <row r="147">
      <c r="A147" s="8" t="inlineStr">
        <is>
          <t>bài 19</t>
        </is>
      </c>
      <c r="B147" s="8" t="inlineStr">
        <is>
          <t>恍然-恍然大悟</t>
        </is>
      </c>
    </row>
    <row r="148">
      <c r="A148" s="8" t="inlineStr">
        <is>
          <t>bài 19</t>
        </is>
      </c>
      <c r="B148" s="8" t="inlineStr">
        <is>
          <t>裂开-裂缝-裂纹-身败名裂-心胆俱裂-四分五裂-山崩地裂</t>
        </is>
      </c>
    </row>
    <row r="149">
      <c r="A149" s="8" t="inlineStr">
        <is>
          <t>bài 19</t>
        </is>
      </c>
      <c r="B149" s="8" t="inlineStr">
        <is>
          <t>渗透-透气-透光-透亮-透露</t>
        </is>
      </c>
    </row>
    <row r="150">
      <c r="A150" s="8" t="inlineStr">
        <is>
          <t>bài 19</t>
        </is>
      </c>
      <c r="B150" s="8" t="inlineStr">
        <is>
          <t>潜水-潜力-潜伏-潜移默化</t>
        </is>
      </c>
    </row>
    <row r="151">
      <c r="A151" s="8" t="inlineStr">
        <is>
          <t>bài 19</t>
        </is>
      </c>
      <c r="B151" s="8" t="inlineStr">
        <is>
          <t>有条不紊-井井有条</t>
        </is>
      </c>
    </row>
    <row r="152">
      <c r="A152" s="8" t="inlineStr">
        <is>
          <t>bài 20</t>
        </is>
      </c>
      <c r="B152" s="8" t="inlineStr">
        <is>
          <t>勤快-勤恳-勤俭-勤学苦练-考勤-出勤-缺勤</t>
        </is>
      </c>
    </row>
    <row r="153">
      <c r="A153" s="8" t="inlineStr">
        <is>
          <t>bài 20</t>
        </is>
      </c>
      <c r="B153" s="8" t="inlineStr">
        <is>
          <t>废墟-废弃-荒废-百废待兴-废品-废纸</t>
        </is>
      </c>
    </row>
    <row r="154">
      <c r="A154" s="8" t="inlineStr">
        <is>
          <t>bài 20</t>
        </is>
      </c>
      <c r="B154" s="8" t="inlineStr">
        <is>
          <t>怪癖-怪事-怪异-怪模怪样-古怪-奇形怪状-千奇百怪-大惊小怪-怪罪-错怪</t>
        </is>
      </c>
    </row>
    <row r="155">
      <c r="A155" s="8" t="inlineStr">
        <is>
          <t>bài 20</t>
        </is>
      </c>
      <c r="B155" s="8" t="inlineStr">
        <is>
          <t>鸟窝-马蜂窝-安乐窝-眼窝-酒窝-山窝-窝囊</t>
        </is>
      </c>
    </row>
    <row r="156">
      <c r="A156" s="8" t="inlineStr">
        <is>
          <t>bài 20</t>
        </is>
      </c>
      <c r="B156" s="8" t="inlineStr">
        <is>
          <t>隐蔽-屏蔽-掩蔽-遮蔽-浮云蔽日-一言以蔽之</t>
        </is>
      </c>
    </row>
    <row r="157">
      <c r="A157" s="8" t="inlineStr">
        <is>
          <t>bài 20</t>
        </is>
      </c>
      <c r="B157" s="8" t="inlineStr">
        <is>
          <t>每逢-相逢-千载难逢-久别重逢-逢山开路</t>
        </is>
      </c>
    </row>
    <row r="158">
      <c r="A158" s="8" t="inlineStr">
        <is>
          <t>bài 20</t>
        </is>
      </c>
      <c r="B158" s="8" t="inlineStr">
        <is>
          <t>贿赂-受贿-行贿-贿选</t>
        </is>
      </c>
    </row>
    <row r="159">
      <c r="A159" s="8" t="inlineStr">
        <is>
          <t>bài 21</t>
        </is>
      </c>
      <c r="B159" s="8" t="inlineStr">
        <is>
          <t>剧-戏剧-编剧-喜剧-话剧-剧烈</t>
        </is>
      </c>
    </row>
    <row r="160">
      <c r="A160" s="8" t="inlineStr">
        <is>
          <t>bài 21</t>
        </is>
      </c>
      <c r="B160" s="8" t="inlineStr">
        <is>
          <t>息-川流不息-叹息-自强不息-安息</t>
        </is>
      </c>
    </row>
    <row r="161">
      <c r="A161" s="8" t="inlineStr">
        <is>
          <t>bài 21</t>
        </is>
      </c>
      <c r="B161" s="8" t="inlineStr">
        <is>
          <t>把-把儿-把关-把角-车把</t>
        </is>
      </c>
    </row>
    <row r="162">
      <c r="A162" s="8" t="inlineStr">
        <is>
          <t>bài 21</t>
        </is>
      </c>
      <c r="B162" s="8" t="inlineStr">
        <is>
          <t>卸-卸载-拆卸-卸磨杀驴-卸妆</t>
        </is>
      </c>
    </row>
    <row r="163">
      <c r="A163" s="8" t="inlineStr">
        <is>
          <t>bài 21</t>
        </is>
      </c>
      <c r="B163" s="8" t="inlineStr">
        <is>
          <t>应-应该-应有尽有-答应-应当-对应</t>
        </is>
      </c>
    </row>
    <row r="164">
      <c r="A164" s="8" t="inlineStr">
        <is>
          <t>bài 21</t>
        </is>
      </c>
      <c r="B164" s="8" t="inlineStr">
        <is>
          <t>拟-虚拟-模拟-拟人-拟物-拟声词</t>
        </is>
      </c>
    </row>
    <row r="165">
      <c r="A165" s="8" t="inlineStr">
        <is>
          <t>bài 21</t>
        </is>
      </c>
      <c r="B165" s="8" t="inlineStr">
        <is>
          <t>插-插头-插秧-插入-插嘴-插手-安插</t>
        </is>
      </c>
    </row>
    <row r="166">
      <c r="A166" s="8" t="inlineStr">
        <is>
          <t>bài 21</t>
        </is>
      </c>
      <c r="B166" s="8" t="inlineStr">
        <is>
          <t>馈-馈送-馈赠-反馈-回馈</t>
        </is>
      </c>
    </row>
    <row r="167">
      <c r="A167" s="8" t="inlineStr">
        <is>
          <t>bài 22</t>
        </is>
      </c>
      <c r="B167" s="8" t="inlineStr">
        <is>
          <t>堵-堵车-堵得慌-一堵墙-堵塞-围堵</t>
        </is>
      </c>
    </row>
    <row r="168">
      <c r="A168" s="8" t="inlineStr">
        <is>
          <t>bài 22</t>
        </is>
      </c>
      <c r="B168" s="8" t="inlineStr">
        <is>
          <t>滞-滞留-滞销-呆滞-停滞不前</t>
        </is>
      </c>
    </row>
    <row r="169">
      <c r="A169" s="8" t="inlineStr">
        <is>
          <t>bài 22</t>
        </is>
      </c>
      <c r="B169" s="8" t="inlineStr">
        <is>
          <t>谋-阴谋诡计-有勇有谋-足智多谋-深谋远虑</t>
        </is>
      </c>
    </row>
    <row r="170">
      <c r="A170" s="8" t="inlineStr">
        <is>
          <t>bài 22</t>
        </is>
      </c>
      <c r="B170" s="8" t="inlineStr">
        <is>
          <t>融-融化-融和-融合-融汇-融会贯通-水乳交融</t>
        </is>
      </c>
    </row>
    <row r="171">
      <c r="A171" s="8" t="inlineStr">
        <is>
          <t>bài 22</t>
        </is>
      </c>
      <c r="B171" s="8" t="inlineStr">
        <is>
          <t>珍-珍珠-珍稀-珍视-珍爱-如数家珍-珍禽异兽-山珍海味</t>
        </is>
      </c>
    </row>
    <row r="172">
      <c r="A172" s="8" t="inlineStr">
        <is>
          <t>bài 22</t>
        </is>
      </c>
      <c r="B172" s="8" t="inlineStr">
        <is>
          <t>珠-珠子-露珠-泪珠-圆珠笔-鱼目混珠-珠联璧合</t>
        </is>
      </c>
    </row>
    <row r="173">
      <c r="A173" s="8" t="inlineStr">
        <is>
          <t>bài 22</t>
        </is>
      </c>
      <c r="B173" s="8" t="inlineStr">
        <is>
          <t>遏-怒不可遏-遏止-遏制-阻遏</t>
        </is>
      </c>
    </row>
    <row r="174">
      <c r="A174" s="8" t="inlineStr">
        <is>
          <t>bài 22</t>
        </is>
      </c>
      <c r="B174" s="8" t="inlineStr">
        <is>
          <t>昂-昂首-昂首阔步-昂然-慷慨激昂-高昂-斗志昂然</t>
        </is>
      </c>
    </row>
    <row r="175">
      <c r="A175" s="8" t="inlineStr">
        <is>
          <t>bài 23</t>
        </is>
      </c>
      <c r="B175" s="8" t="inlineStr">
        <is>
          <t>堵-堵车-堵得慌-一堵墙-堵塞-围堵</t>
        </is>
      </c>
    </row>
    <row r="176">
      <c r="A176" s="8" t="inlineStr">
        <is>
          <t>bài 23</t>
        </is>
      </c>
      <c r="B176" s="8" t="inlineStr">
        <is>
          <t>卓-卓有成效-卓识-卓著-艰苦卓绝-卓越-卓见</t>
        </is>
      </c>
    </row>
    <row r="177">
      <c r="A177" s="8" t="inlineStr">
        <is>
          <t>bài 23</t>
        </is>
      </c>
      <c r="B177" s="8" t="inlineStr">
        <is>
          <t>遣-派遣-调兵遣将-消遣-差遣-自遣-遣送</t>
        </is>
      </c>
    </row>
    <row r="178">
      <c r="A178" s="8" t="inlineStr">
        <is>
          <t>bài 23</t>
        </is>
      </c>
      <c r="B178" s="8" t="inlineStr">
        <is>
          <t>萌-萌生-萌发-萌芽-萌动</t>
        </is>
      </c>
    </row>
    <row r="179">
      <c r="A179" s="8" t="inlineStr">
        <is>
          <t>bài 23</t>
        </is>
      </c>
      <c r="B179" s="8" t="inlineStr">
        <is>
          <t>谬-谬论-谬误-失之毫厘,谬以千里-荒谬</t>
        </is>
      </c>
    </row>
    <row r="180">
      <c r="A180" s="8" t="inlineStr">
        <is>
          <t>bài 23</t>
        </is>
      </c>
      <c r="B180" s="8" t="inlineStr">
        <is>
          <t>转-转变-转弯-转学-转眼-转账-转危为安-目不转睛-转告-转达-转让-转播-转租</t>
        </is>
      </c>
    </row>
    <row r="181">
      <c r="A181" s="8" t="inlineStr">
        <is>
          <t>bài 23</t>
        </is>
      </c>
      <c r="B181" s="8" t="inlineStr">
        <is>
          <t>喻-譬喻-比喻-隐喻-家喻户晓-不言而喻-不可理喻-喻之以理</t>
        </is>
      </c>
    </row>
    <row r="182">
      <c r="A182" s="8" t="inlineStr">
        <is>
          <t>bài 23</t>
        </is>
      </c>
      <c r="B182" s="8" t="inlineStr">
        <is>
          <t>为-为人-为生-为非作歹-有为-无为-无能为力-大有作为-胡作非为</t>
        </is>
      </c>
    </row>
    <row r="183">
      <c r="A183" s="8" t="inlineStr">
        <is>
          <t>bài 23</t>
        </is>
      </c>
      <c r="B183" s="8" t="inlineStr">
        <is>
          <t>攒-攒钱-积攒</t>
        </is>
      </c>
    </row>
    <row r="184">
      <c r="A184" s="8" t="inlineStr">
        <is>
          <t>bài 24</t>
        </is>
      </c>
      <c r="B184" s="8" t="inlineStr">
        <is>
          <t>蛮横-骄横-专横-横祸-横财-横眉怒目-横行霸道-横七竖八-横冲直撞-人行横道</t>
        </is>
      </c>
    </row>
    <row r="185">
      <c r="A185" s="8" t="inlineStr">
        <is>
          <t>bài 24</t>
        </is>
      </c>
      <c r="B185" s="8" t="inlineStr">
        <is>
          <t>阴雨-阴晴-阴云密布-阴暗-阴冷-阴面-阴险-阴毒-阳奉阴违-阴谋-阴谋诡计</t>
        </is>
      </c>
    </row>
    <row r="186">
      <c r="A186" s="8" t="inlineStr">
        <is>
          <t>bài 24</t>
        </is>
      </c>
      <c r="B186" s="8" t="inlineStr">
        <is>
          <t>一手遮天-遮遮掩掩-遮挡-遮蔽-遮盖</t>
        </is>
      </c>
    </row>
    <row r="187">
      <c r="A187" s="8" t="inlineStr">
        <is>
          <t>bài 24</t>
        </is>
      </c>
      <c r="B187" s="8" t="inlineStr">
        <is>
          <t>哀伤-哀泣-哀叹-哀愁-哀痛-哀号-哀鸣</t>
        </is>
      </c>
    </row>
    <row r="188">
      <c r="A188" s="8" t="inlineStr">
        <is>
          <t>bài 24</t>
        </is>
      </c>
      <c r="B188" s="8" t="inlineStr">
        <is>
          <t>冷酷-严酷-酷爱-酷寒-酷热-酷似</t>
        </is>
      </c>
    </row>
    <row r="189">
      <c r="A189" s="8" t="inlineStr">
        <is>
          <t>bài 24</t>
        </is>
      </c>
      <c r="B189" s="8" t="inlineStr">
        <is>
          <t>凶残-凶狠-凶恶-凶险-凶猛-行凶-凶器-凶犯-帮凶</t>
        </is>
      </c>
    </row>
    <row r="190">
      <c r="A190" s="8" t="inlineStr">
        <is>
          <t>bài 24</t>
        </is>
      </c>
      <c r="B190" s="8" t="inlineStr">
        <is>
          <t>不白之冤-冤屈-冤枉-冤仇-无冤无仇</t>
        </is>
      </c>
    </row>
    <row r="191">
      <c r="A191" s="8" t="inlineStr">
        <is>
          <t>bài 24</t>
        </is>
      </c>
      <c r="B191" s="8" t="inlineStr">
        <is>
          <t>雪花-冰天雪地-雪崩-雪耻-雪冤-报仇雪恨-雪亮-雪中送炭-雪上加霜</t>
        </is>
      </c>
    </row>
    <row r="192">
      <c r="A192" s="8" t="inlineStr">
        <is>
          <t>bài 25</t>
        </is>
      </c>
      <c r="B192" s="8" t="inlineStr">
        <is>
          <t>委婉-委派-委托-委实</t>
        </is>
      </c>
    </row>
    <row r="193">
      <c r="A193" s="8" t="inlineStr">
        <is>
          <t>bài 25</t>
        </is>
      </c>
      <c r="B193" s="8" t="inlineStr">
        <is>
          <t>救灾款-专款-赃款-公款-罚款-筹款-捐款-贷款-款待-款留-款式-落款</t>
        </is>
      </c>
    </row>
    <row r="194">
      <c r="A194" s="8" t="inlineStr">
        <is>
          <t>bài 25</t>
        </is>
      </c>
      <c r="B194" s="8" t="inlineStr">
        <is>
          <t>叮咛-叮嘱-千叮万嘱-叮当-叮咬-叮问</t>
        </is>
      </c>
    </row>
    <row r="195">
      <c r="A195" s="8" t="inlineStr">
        <is>
          <t>bài 25</t>
        </is>
      </c>
      <c r="B195" s="8" t="inlineStr">
        <is>
          <t>嘱咐-遗嘱-叮嘱-医嘱</t>
        </is>
      </c>
    </row>
    <row r="196">
      <c r="A196" s="8" t="inlineStr">
        <is>
          <t>bài 25</t>
        </is>
      </c>
      <c r="B196" s="8" t="inlineStr">
        <is>
          <t>逼债-威逼-逼迫-逼视-逼近-逼真</t>
        </is>
      </c>
    </row>
    <row r="197">
      <c r="A197" s="8" t="inlineStr">
        <is>
          <t>bài 25</t>
        </is>
      </c>
      <c r="B197" s="8" t="inlineStr">
        <is>
          <t>保卫-保养-保温-保险-朝不保夕</t>
        </is>
      </c>
    </row>
    <row r="198">
      <c r="A198" s="8" t="inlineStr">
        <is>
          <t>bài 25</t>
        </is>
      </c>
      <c r="B198" s="8" t="inlineStr">
        <is>
          <t>说漏了嘴-漏网-漏洞-漏电-漏风-漏斗</t>
        </is>
      </c>
    </row>
    <row r="199">
      <c r="A199" s="8" t="inlineStr">
        <is>
          <t>bài 25</t>
        </is>
      </c>
      <c r="B199" s="8" t="inlineStr">
        <is>
          <t>盛气凌人-欺凌-凌晨-凌驾-凌空-冰凌-冰激凌-壮志凌云</t>
        </is>
      </c>
    </row>
    <row r="200">
      <c r="A200" s="8" t="inlineStr">
        <is>
          <t>bài 25</t>
        </is>
      </c>
      <c r="B200" s="8" t="inlineStr">
        <is>
          <t>飞涨-涨价-涨钱-暴涨-猛涨-涨落-涨跌-水涨船高-高涨-看涨-上涨</t>
        </is>
      </c>
    </row>
    <row r="201">
      <c r="A201" s="8" t="inlineStr">
        <is>
          <t>bài 26</t>
        </is>
      </c>
      <c r="B201" s="8" t="inlineStr">
        <is>
          <t>炎热-炎夏-炎凉-世态炎凉-炎炎夏季</t>
        </is>
      </c>
    </row>
    <row r="202">
      <c r="A202" s="8" t="inlineStr">
        <is>
          <t>bài 26</t>
        </is>
      </c>
      <c r="B202" s="8" t="inlineStr">
        <is>
          <t>乏-解乏-人困马乏-疲乏-倦乏-劳乏</t>
        </is>
      </c>
    </row>
    <row r="203">
      <c r="A203" s="8" t="inlineStr">
        <is>
          <t>bài 26</t>
        </is>
      </c>
      <c r="B203" s="8" t="inlineStr">
        <is>
          <t>摊-报摊儿-均摊-分摊-烂摊子-收摊儿</t>
        </is>
      </c>
    </row>
    <row r="204">
      <c r="A204" s="8" t="inlineStr">
        <is>
          <t>bài 26</t>
        </is>
      </c>
      <c r="B204" s="8" t="inlineStr">
        <is>
          <t>来来回回-打打闹闹-进进出出-来来往往-拉拉扯扯-比比划划-嘻嘻哈哈-磕磕碰碰-拖拖拉拉</t>
        </is>
      </c>
    </row>
    <row r="205">
      <c r="A205" s="8" t="inlineStr">
        <is>
          <t>bài 26</t>
        </is>
      </c>
      <c r="B205" s="8" t="inlineStr">
        <is>
          <t>眯-眯缝-笑眯眯-迷瞪-眯着</t>
        </is>
      </c>
    </row>
    <row r="206">
      <c r="A206" s="8" t="inlineStr">
        <is>
          <t>bài 26</t>
        </is>
      </c>
      <c r="B206" s="8" t="inlineStr">
        <is>
          <t>默-默哀-默契-默认-默许-默默无言</t>
        </is>
      </c>
    </row>
    <row r="207">
      <c r="A207" s="8" t="inlineStr">
        <is>
          <t>bài 27</t>
        </is>
      </c>
      <c r="B207" s="8" t="inlineStr">
        <is>
          <t>兑现－挤兑－汇兑－掺兑</t>
        </is>
      </c>
    </row>
    <row r="208">
      <c r="A208" s="8" t="inlineStr">
        <is>
          <t>bài 27</t>
        </is>
      </c>
      <c r="B208" s="8" t="inlineStr">
        <is>
          <t>胆大妄为－妄求－妄说－轻举妄动</t>
        </is>
      </c>
    </row>
    <row r="209">
      <c r="A209" s="8" t="inlineStr">
        <is>
          <t>bài 27</t>
        </is>
      </c>
      <c r="B209" s="8" t="inlineStr">
        <is>
          <t>磋商－切磋</t>
        </is>
      </c>
    </row>
    <row r="210">
      <c r="A210" s="8" t="inlineStr">
        <is>
          <t>bài 27</t>
        </is>
      </c>
      <c r="B210" s="8" t="inlineStr">
        <is>
          <t>雄兵－雄伟－雄健－雄心－雄浑－雄师</t>
        </is>
      </c>
    </row>
    <row r="211">
      <c r="A211" s="8" t="inlineStr">
        <is>
          <t>bài 27</t>
        </is>
      </c>
      <c r="B211" s="8" t="inlineStr">
        <is>
          <t>步履蹒跚－履历－履约－如履薄冰</t>
        </is>
      </c>
    </row>
    <row r="212">
      <c r="A212" s="8" t="inlineStr">
        <is>
          <t>bài 27</t>
        </is>
      </c>
      <c r="B212" s="8" t="inlineStr">
        <is>
          <t>威仪－司仪－礼仪－仪表－贺仪</t>
        </is>
      </c>
    </row>
    <row r="213">
      <c r="A213" s="8" t="inlineStr">
        <is>
          <t>bài 27</t>
        </is>
      </c>
      <c r="B213" s="8" t="inlineStr">
        <is>
          <t>撒娇－撒手－撒欢儿－撒泼－撒气</t>
        </is>
      </c>
    </row>
    <row r="214">
      <c r="A214" s="8" t="inlineStr">
        <is>
          <t>bài 27</t>
        </is>
      </c>
      <c r="B214" s="8" t="inlineStr">
        <is>
          <t>暴露－揭露－流露－透露－吐露－披露</t>
        </is>
      </c>
    </row>
    <row r="215">
      <c r="A215" s="8" t="inlineStr">
        <is>
          <t>bài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2026-07-19T04:55:40Z</dcterms:created>
  <dcterms:modified xmlns:dcterms="http://purl.org/dc/terms/" xmlns:xsi="http://www.w3.org/2001/XMLSchema-instance" xsi:type="dcterms:W3CDTF">2026-10-28T07:47:35Z</dcterms:modified>
</cp:coreProperties>
</file>